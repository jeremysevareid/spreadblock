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360db33fb8e4f52/1_Jer_Work/1_Blockchain/Bluemix/excel/"/>
    </mc:Choice>
  </mc:AlternateContent>
  <bookViews>
    <workbookView xWindow="22515" yWindow="345" windowWidth="20745" windowHeight="9765"/>
  </bookViews>
  <sheets>
    <sheet name="Global Config" sheetId="8" r:id="rId1"/>
    <sheet name="Network API Call" sheetId="6" r:id="rId2"/>
    <sheet name="Chain API Call" sheetId="12" r:id="rId3"/>
    <sheet name="Block API Call" sheetId="13" r:id="rId4"/>
    <sheet name="Block Details" sheetId="15" r:id="rId5"/>
    <sheet name="About" sheetId="11" r:id="rId6"/>
    <sheet name="Troubleshooting" sheetId="14" r:id="rId7"/>
  </sheets>
  <functionGroups builtInGroupCount="18"/>
  <definedNames>
    <definedName name="BASE_URL">'Global Config'!$D$4</definedName>
    <definedName name="BLOCK_DETAILS_RAW_RESPONSE">'Block Details'!#REF!</definedName>
    <definedName name="CHAIN_API_CALL_BROWSER_URL">'Chain API Call'!$D$7</definedName>
    <definedName name="CHAIN_API_CALL_CLEARED_AREA">'Chain API Call'!$D$13:$E$18</definedName>
    <definedName name="CHAIN_API_CALL_CURRENT_BLOCK_HEIGHT">#REF!</definedName>
    <definedName name="CHAIN_API_CALL_PRETTY_PRINTED_RESPONSE">'Chain API Call'!#REF!</definedName>
    <definedName name="CHAIN_API_CALL_RAW_RESPONSE">'Chain API Call'!$D$15</definedName>
    <definedName name="CHAIN_API_CALL_STATUS_CODE">'Chain API Call'!$D$13</definedName>
    <definedName name="CHAIN_API_CALL_STATUS_DESCRIPTION">'Chain API Call'!$D$14</definedName>
    <definedName name="CHAIN_API_CALL_TEXT_TO_COLUMNS">'Chain API Call'!$D$16:$E$18</definedName>
    <definedName name="CHAIN_API_CALL_URL_SUFFIX">'Chain API Call'!$D$6</definedName>
    <definedName name="CHAIN_HEIGHT">'Chain API Call'!$E$16</definedName>
    <definedName name="CHAIN_QUERY_RESULT">chain[]</definedName>
    <definedName name="ExternalData_3" localSheetId="2" hidden="1">'Chain API Call'!#REF!</definedName>
    <definedName name="ExternalData_4" localSheetId="2" hidden="1">'Chain API Call'!$D$23:$E$26</definedName>
    <definedName name="NETWORK_RESPONSE">'Network API Call'!$E$12:$H$15</definedName>
    <definedName name="NETWORK_URL_SUFFIX">'Network API Call'!$E$6</definedName>
    <definedName name="SAMPLE_BLOCK">#REF!</definedName>
    <definedName name="TOP_BLOCK_RAW_RESPONSE">'Block API Call'!$F$16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6" l="1"/>
  <c r="D16" i="13" l="1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2" i="13"/>
  <c r="E7" i="6" l="1"/>
  <c r="E7" i="13"/>
  <c r="E22" i="13" s="1"/>
  <c r="E16" i="13" l="1"/>
  <c r="D7" i="12"/>
  <c r="F16" i="13"/>
  <c r="D5" i="15" l="1"/>
  <c r="E17" i="13"/>
  <c r="D10" i="15"/>
  <c r="F17" i="13"/>
  <c r="E18" i="13" l="1"/>
  <c r="F18" i="13"/>
  <c r="E19" i="13" l="1"/>
  <c r="F19" i="13"/>
  <c r="E20" i="13" l="1"/>
  <c r="F20" i="13"/>
  <c r="E21" i="13" l="1"/>
  <c r="F21" i="13"/>
  <c r="F22" i="13"/>
  <c r="E23" i="13" l="1"/>
  <c r="F23" i="13"/>
  <c r="E24" i="13" l="1"/>
  <c r="F24" i="13"/>
  <c r="E25" i="13" l="1"/>
  <c r="F25" i="13"/>
  <c r="E26" i="13" l="1"/>
  <c r="F26" i="13"/>
  <c r="E27" i="13" l="1"/>
  <c r="F27" i="13"/>
  <c r="E28" i="13" l="1"/>
  <c r="F28" i="13"/>
  <c r="E29" i="13" l="1"/>
  <c r="F29" i="13"/>
  <c r="E30" i="13" l="1"/>
  <c r="F30" i="13"/>
  <c r="E31" i="13" l="1"/>
  <c r="F31" i="13"/>
  <c r="E32" i="13" l="1"/>
  <c r="F32" i="13"/>
  <c r="E33" i="13" l="1"/>
  <c r="F33" i="13"/>
  <c r="E34" i="13" l="1"/>
  <c r="F34" i="13"/>
  <c r="E35" i="13" l="1"/>
  <c r="F35" i="13"/>
  <c r="E36" i="13" l="1"/>
  <c r="F36" i="13"/>
  <c r="E37" i="13" l="1"/>
  <c r="F37" i="13"/>
  <c r="E38" i="13" l="1"/>
  <c r="F38" i="13"/>
  <c r="E39" i="13" l="1"/>
  <c r="F39" i="13"/>
  <c r="E40" i="13" l="1"/>
  <c r="F40" i="13"/>
  <c r="E41" i="13" l="1"/>
  <c r="F41" i="13"/>
  <c r="E42" i="13" l="1"/>
  <c r="F42" i="13"/>
  <c r="E43" i="13" l="1"/>
  <c r="F43" i="13"/>
  <c r="E44" i="13" l="1"/>
  <c r="F44" i="13"/>
  <c r="E45" i="13" l="1"/>
  <c r="F45" i="13"/>
  <c r="E46" i="13" l="1"/>
  <c r="F46" i="13"/>
  <c r="E47" i="13" l="1"/>
  <c r="F47" i="13"/>
  <c r="E48" i="13" l="1"/>
  <c r="F48" i="13"/>
  <c r="E49" i="13" l="1"/>
  <c r="F49" i="13"/>
  <c r="E50" i="13" l="1"/>
  <c r="F50" i="13"/>
  <c r="E51" i="13" l="1"/>
  <c r="F51" i="13"/>
  <c r="E52" i="13" l="1"/>
  <c r="F52" i="13"/>
  <c r="E53" i="13" l="1"/>
  <c r="F53" i="13"/>
  <c r="E54" i="13" l="1"/>
  <c r="F54" i="13"/>
  <c r="E55" i="13" l="1"/>
  <c r="F55" i="13"/>
  <c r="E56" i="13" l="1"/>
  <c r="F56" i="13"/>
  <c r="E57" i="13" l="1"/>
  <c r="F57" i="13"/>
  <c r="E58" i="13" l="1"/>
  <c r="F58" i="13"/>
  <c r="E59" i="13" l="1"/>
  <c r="F59" i="13"/>
  <c r="E60" i="13" l="1"/>
  <c r="F60" i="13"/>
  <c r="E61" i="13" l="1"/>
  <c r="F61" i="13"/>
  <c r="E62" i="13" l="1"/>
  <c r="F62" i="13"/>
  <c r="E63" i="13" l="1"/>
  <c r="F63" i="13"/>
  <c r="E64" i="13" l="1"/>
  <c r="F64" i="13"/>
  <c r="E65" i="13" l="1"/>
  <c r="F65" i="13"/>
  <c r="E66" i="13" l="1"/>
  <c r="F66" i="13"/>
  <c r="E67" i="13" l="1"/>
  <c r="F67" i="13"/>
  <c r="E68" i="13" l="1"/>
  <c r="F68" i="13"/>
  <c r="E69" i="13" l="1"/>
  <c r="F69" i="13"/>
  <c r="E70" i="13" l="1"/>
  <c r="F70" i="13"/>
  <c r="E71" i="13" l="1"/>
  <c r="F71" i="13"/>
  <c r="E72" i="13" l="1"/>
  <c r="F72" i="13"/>
  <c r="E73" i="13" l="1"/>
  <c r="F73" i="13"/>
  <c r="E74" i="13" l="1"/>
  <c r="F74" i="13"/>
  <c r="E75" i="13" l="1"/>
  <c r="F75" i="13"/>
  <c r="E76" i="13" l="1"/>
  <c r="F76" i="13"/>
  <c r="E77" i="13" l="1"/>
  <c r="F77" i="13"/>
  <c r="E78" i="13" l="1"/>
  <c r="F78" i="13"/>
  <c r="E79" i="13" l="1"/>
  <c r="F79" i="13"/>
  <c r="E80" i="13" l="1"/>
  <c r="F80" i="13"/>
  <c r="E81" i="13" l="1"/>
  <c r="F81" i="13"/>
  <c r="E82" i="13" l="1"/>
  <c r="F82" i="13"/>
  <c r="E83" i="13" l="1"/>
  <c r="F83" i="13"/>
  <c r="E84" i="13" l="1"/>
  <c r="F84" i="13"/>
  <c r="E85" i="13" l="1"/>
  <c r="F85" i="13"/>
  <c r="E86" i="13" l="1"/>
  <c r="F86" i="13"/>
  <c r="E87" i="13" l="1"/>
  <c r="F87" i="13"/>
  <c r="E88" i="13" l="1"/>
  <c r="F88" i="13"/>
  <c r="E89" i="13" l="1"/>
  <c r="F89" i="13"/>
  <c r="E90" i="13" l="1"/>
  <c r="F90" i="13"/>
  <c r="E91" i="13" l="1"/>
  <c r="F91" i="13"/>
  <c r="E92" i="13" l="1"/>
  <c r="F92" i="13"/>
  <c r="E93" i="13" l="1"/>
  <c r="F93" i="13"/>
  <c r="E94" i="13" l="1"/>
  <c r="F94" i="13"/>
  <c r="E95" i="13" l="1"/>
  <c r="F95" i="13"/>
  <c r="E96" i="13" l="1"/>
  <c r="F96" i="13"/>
  <c r="E97" i="13" l="1"/>
  <c r="F97" i="13"/>
  <c r="E98" i="13" l="1"/>
  <c r="F98" i="13"/>
  <c r="E99" i="13" l="1"/>
  <c r="F99" i="13"/>
  <c r="E100" i="13" l="1"/>
  <c r="F100" i="13"/>
  <c r="E101" i="13" l="1"/>
  <c r="F101" i="13"/>
  <c r="E102" i="13" l="1"/>
  <c r="F102" i="13"/>
  <c r="E103" i="13" l="1"/>
  <c r="F103" i="13"/>
  <c r="E104" i="13" l="1"/>
  <c r="F104" i="13"/>
  <c r="E105" i="13" l="1"/>
  <c r="F105" i="13"/>
  <c r="E106" i="13" l="1"/>
  <c r="F106" i="13"/>
  <c r="E107" i="13" l="1"/>
  <c r="F107" i="13"/>
  <c r="E108" i="13" l="1"/>
  <c r="F108" i="13"/>
  <c r="E109" i="13" l="1"/>
  <c r="F109" i="13"/>
  <c r="E110" i="13" l="1"/>
  <c r="F110" i="13"/>
  <c r="E111" i="13" l="1"/>
  <c r="F111" i="13"/>
  <c r="E112" i="13" l="1"/>
  <c r="F112" i="13"/>
  <c r="E113" i="13" l="1"/>
  <c r="F113" i="13"/>
  <c r="E114" i="13" l="1"/>
  <c r="F114" i="13"/>
  <c r="E115" i="13" l="1"/>
  <c r="F115" i="13"/>
  <c r="E116" i="13" l="1"/>
  <c r="F116" i="13"/>
  <c r="E117" i="13" l="1"/>
  <c r="F117" i="13"/>
  <c r="E118" i="13" l="1"/>
  <c r="F118" i="13"/>
  <c r="E119" i="13" l="1"/>
  <c r="F119" i="13"/>
  <c r="E120" i="13" l="1"/>
  <c r="F120" i="13"/>
  <c r="E121" i="13" l="1"/>
  <c r="F121" i="13"/>
  <c r="E122" i="13" l="1"/>
  <c r="F122" i="13"/>
  <c r="E123" i="13" l="1"/>
  <c r="F123" i="13"/>
  <c r="E124" i="13" l="1"/>
  <c r="F124" i="13"/>
  <c r="E125" i="13" l="1"/>
  <c r="F125" i="13"/>
  <c r="E126" i="13" l="1"/>
  <c r="F126" i="13"/>
  <c r="E127" i="13" l="1"/>
  <c r="F127" i="13"/>
  <c r="E128" i="13" l="1"/>
  <c r="F128" i="13"/>
  <c r="E129" i="13" l="1"/>
  <c r="F129" i="13"/>
  <c r="E130" i="13" l="1"/>
  <c r="F130" i="13"/>
  <c r="E131" i="13" l="1"/>
  <c r="F131" i="13"/>
  <c r="E132" i="13" l="1"/>
  <c r="F132" i="13"/>
  <c r="E133" i="13" l="1"/>
  <c r="F133" i="13"/>
  <c r="E134" i="13" l="1"/>
  <c r="F134" i="13"/>
  <c r="E135" i="13" l="1"/>
  <c r="F135" i="13"/>
  <c r="E136" i="13" l="1"/>
  <c r="F136" i="13"/>
  <c r="E137" i="13" l="1"/>
  <c r="F137" i="13"/>
  <c r="E138" i="13" l="1"/>
  <c r="F138" i="13"/>
  <c r="E139" i="13" l="1"/>
  <c r="F139" i="13"/>
  <c r="E140" i="13" l="1"/>
  <c r="F140" i="13"/>
  <c r="E141" i="13" l="1"/>
  <c r="F141" i="13"/>
  <c r="E142" i="13" l="1"/>
  <c r="F142" i="13"/>
  <c r="E143" i="13" l="1"/>
  <c r="F143" i="13"/>
  <c r="E144" i="13" l="1"/>
  <c r="F144" i="13"/>
  <c r="E145" i="13" l="1"/>
  <c r="F145" i="13"/>
  <c r="E146" i="13" l="1"/>
  <c r="F146" i="13"/>
  <c r="E147" i="13" l="1"/>
  <c r="F147" i="13"/>
  <c r="E148" i="13" l="1"/>
  <c r="F148" i="13"/>
  <c r="E149" i="13" l="1"/>
  <c r="F149" i="13"/>
  <c r="E150" i="13" l="1"/>
  <c r="F150" i="13"/>
  <c r="E151" i="13" l="1"/>
  <c r="F151" i="13"/>
</calcChain>
</file>

<file path=xl/connections.xml><?xml version="1.0" encoding="utf-8"?>
<connections xmlns="http://schemas.openxmlformats.org/spreadsheetml/2006/main">
  <connection id="1" keepAlive="1" name="Query - chain" description="Connection to the 'chain' query in the workbook." type="5" refreshedVersion="6" background="1" saveData="1">
    <dbPr connection="Provider=Microsoft.Mashup.OleDb.1;Data Source=$Workbook$;Location=chain;Extended Properties=&quot;&quot;" command="SELECT * FROM [chain]"/>
  </connection>
</connections>
</file>

<file path=xl/sharedStrings.xml><?xml version="1.0" encoding="utf-8"?>
<sst xmlns="http://schemas.openxmlformats.org/spreadsheetml/2006/main" count="129" uniqueCount="113">
  <si>
    <t>Type</t>
  </si>
  <si>
    <t>ID</t>
  </si>
  <si>
    <t>pkiID</t>
  </si>
  <si>
    <t>Base URL of one peer validating node</t>
  </si>
  <si>
    <t>GET</t>
  </si>
  <si>
    <t>Request</t>
  </si>
  <si>
    <t>URL_Suffix</t>
  </si>
  <si>
    <t>/network/peers</t>
  </si>
  <si>
    <t>Author</t>
  </si>
  <si>
    <t>Jeremy Sevareid</t>
  </si>
  <si>
    <t>License</t>
  </si>
  <si>
    <t>MIT</t>
  </si>
  <si>
    <t>Utilizes</t>
  </si>
  <si>
    <t>VBA-Web</t>
  </si>
  <si>
    <t>https://github.com/VBA-tools/VBA-Web</t>
  </si>
  <si>
    <t>VBA-JSON</t>
  </si>
  <si>
    <t>v2.2.1</t>
  </si>
  <si>
    <t>https://github.com/VBA-tools/VBA-JSON</t>
  </si>
  <si>
    <t>v4.1.1</t>
  </si>
  <si>
    <t>http://www.opensource.org/licenses/mit-license.php</t>
  </si>
  <si>
    <t>Copyright</t>
  </si>
  <si>
    <t>Invokes</t>
  </si>
  <si>
    <t>IBM Bluemix</t>
  </si>
  <si>
    <t>Blockchain Hackathon-fd</t>
  </si>
  <si>
    <t>https://console.ng.bluemix.net/docs/services/blockchain/ibmblockchain_overview.html</t>
  </si>
  <si>
    <t>https://console.ng.bluemix.net/</t>
  </si>
  <si>
    <t>Service Catalog</t>
  </si>
  <si>
    <t>https://console.ng.bluemix.net/catalog/</t>
  </si>
  <si>
    <t>Service</t>
  </si>
  <si>
    <t>Web and Application</t>
  </si>
  <si>
    <t>Blockchain Hackathon IBM BETA</t>
  </si>
  <si>
    <t>Services</t>
  </si>
  <si>
    <t>Unbound Service</t>
  </si>
  <si>
    <t>Service Documentation</t>
  </si>
  <si>
    <t>Provisioning Dashboard</t>
  </si>
  <si>
    <t>Cloud Provider</t>
  </si>
  <si>
    <t>Hyperledger</t>
  </si>
  <si>
    <t>Fabric</t>
  </si>
  <si>
    <t>https://console.ng.bluemix.net/catalog/services/blockchain-hackathon/</t>
  </si>
  <si>
    <t>Selected Plan</t>
  </si>
  <si>
    <t>App</t>
  </si>
  <si>
    <t>Space</t>
  </si>
  <si>
    <t>dev</t>
  </si>
  <si>
    <t>Starter Developer plan</t>
  </si>
  <si>
    <t>Publish Date</t>
  </si>
  <si>
    <t>10/12/2016 by IBM Author</t>
  </si>
  <si>
    <t>v0.5</t>
  </si>
  <si>
    <t>/chain</t>
  </si>
  <si>
    <t>Raw Response</t>
  </si>
  <si>
    <t>HTTP Request Type</t>
  </si>
  <si>
    <t>REST API Call</t>
  </si>
  <si>
    <t>TBD</t>
  </si>
  <si>
    <t>https://msdn.microsoft.com/en-us/library/office/fp179694.aspx</t>
  </si>
  <si>
    <t>MSDN--&gt;Office Dev Center--&gt;Office Development--&gt;Office clients--&gt;Excel</t>
  </si>
  <si>
    <t>https://konklone.io/json/</t>
  </si>
  <si>
    <t>Useful Tools</t>
  </si>
  <si>
    <t>Name</t>
  </si>
  <si>
    <t>Value</t>
  </si>
  <si>
    <t>Invoke in Browser via Hyperlink</t>
  </si>
  <si>
    <t>Invoke via VBA CLI</t>
  </si>
  <si>
    <t>https://msdn.microsoft.com/en-us/library/office/ff192913.aspx</t>
  </si>
  <si>
    <t>MSDN VBA sample code for windows API clipboard</t>
  </si>
  <si>
    <t>https://github.com/hyperledger/fabric/blob/master/docs/protocol-spec.md#62-rest-api</t>
  </si>
  <si>
    <t>block-id</t>
  </si>
  <si>
    <t>/chain/blocks/</t>
  </si>
  <si>
    <t>REST URL</t>
  </si>
  <si>
    <t>Chain Height</t>
  </si>
  <si>
    <t>Origin Block</t>
  </si>
  <si>
    <t>Hyperledger REST API</t>
  </si>
  <si>
    <t>Useful Documentation</t>
  </si>
  <si>
    <t>Likely deprecated copy b/c it is on github rather than LinuxFoundation</t>
  </si>
  <si>
    <t>Pretty-print JSON and Convert JSON to CSV</t>
  </si>
  <si>
    <t>Response invoked &amp; parsed by VBA</t>
  </si>
  <si>
    <t>Browser URL</t>
  </si>
  <si>
    <t>address</t>
  </si>
  <si>
    <t>type</t>
  </si>
  <si>
    <t>Hyperledger Blockchain REST APIs</t>
  </si>
  <si>
    <t>gregmisiorek [2:12 PM]  
@jserv the new file looks great with a lot of documentation. unfortunately, the same error (408) persists. here, it's the lower version file log output:
[2:13]  
--&gt; Request - 1:51:17 PM
GET https://86dab1801e574ee193166bab7023e427-vp0.dev.blockchain.ibm.com:443/network/peers
User-Agent: Mozilla/48.0.2
Content-Type: application/json
Accept: application/json
Content-Length: 81
&lt;-- Response - 1:51:22 PM
408 Request Timeout: The operation timed out
Error:</t>
  </si>
  <si>
    <t>HTTP error #408</t>
  </si>
  <si>
    <t>Detail</t>
  </si>
  <si>
    <t>Summary</t>
  </si>
  <si>
    <t>Resolution</t>
  </si>
  <si>
    <t>Troubleshooting</t>
  </si>
  <si>
    <t>{"Error": "Openchain endpoint not found."}</t>
  </si>
  <si>
    <t>chain/blocks/block_id where unknown/non-existent block ID is used</t>
  </si>
  <si>
    <t>Assumes Block API call has already been invoked</t>
  </si>
  <si>
    <t>There was an error parsing this JSON.</t>
  </si>
  <si>
    <t>Use copy to clipboard buttons
-or-
Change doubled double-quotes "" everywhere to single double-quote "</t>
  </si>
  <si>
    <t>If you manually cut and paste a raw JSON message from a cell into a web page like https://konklone.io/json, it will be formatted with extra double-quotes around every text string. I.e., ""sample"" instead of "sample".</t>
  </si>
  <si>
    <t xml:space="preserve">Microsoft Excel 
Unable to open https:h'893727999f2b46a78b7316cc9eacaOe3-vpO.dev.bIockchain.ibm.com/chain. Cannot locate the Internet server or proxy server. </t>
  </si>
  <si>
    <t>Unable to open hyperlink</t>
  </si>
  <si>
    <t>This network does not exist</t>
  </si>
  <si>
    <t>Bluemix reports, "WHOOPS - This network does not exist
ID: 149fdeff-e78f-4982-ac7c-a11ecb0ebb5b"</t>
  </si>
  <si>
    <t>Excel is busy or somewhat unresponsive</t>
  </si>
  <si>
    <t>Excel may be displaying, "Ready Running background query „ (Click here to cancel)" in the lower lefthand corner of the screen</t>
  </si>
  <si>
    <t>HTTP Status Code</t>
  </si>
  <si>
    <t>HTTP Status Description</t>
  </si>
  <si>
    <t>Raw JSON</t>
  </si>
  <si>
    <t>Parsed JSON</t>
  </si>
  <si>
    <t>Response from Button --&gt; Macro --&gt; VBA --&gt; Workbook Query  --&gt; ODBC  --&gt; REST API</t>
  </si>
  <si>
    <t>must supply a block # for the above call to work</t>
  </si>
  <si>
    <t>Response from Excel's automatic recalc  --&gt; cell-by-cell formulas --&gt; VBA --&gt; VBA-Web --&gt; REST API</t>
  </si>
  <si>
    <t>Assumes Chain API call on prior sheet has already been invoked</t>
  </si>
  <si>
    <t>Excel keeps beeping when I try to type</t>
  </si>
  <si>
    <t>There's a modal dialog box open somewhere</t>
  </si>
  <si>
    <t>Response from Excel's automatic recalc  --&gt; cell-by-cell formulas --&gt; VBA --&gt; VBA-Web &amp; JSONConverter --&gt; REST API</t>
  </si>
  <si>
    <t>Response from Button --&gt; Macro --&gt; VBA --&gt; VBA-Web &amp; JSONConverter --&gt; REST API</t>
  </si>
  <si>
    <t>URL for top block</t>
  </si>
  <si>
    <t>Pretty Printed</t>
  </si>
  <si>
    <t>© Jeremy Sevareid, 2016, jeremysevareid@gmail.com</t>
  </si>
  <si>
    <t>let
    Source = Json.Document(Web.Contents("https://67f01aca6dfa402c918e7abd7d7caed2-vp0.us.blockchain.ibm.com:446/chain")),
    #"Converted to Table" = Record.ToTable(Source)
in
    #"Converted to Table"</t>
  </si>
  <si>
    <t>Query Formula</t>
  </si>
  <si>
    <t>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</si>
</sst>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Lucida Console"/>
      <family val="3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5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0" applyFont="1"/>
    <xf numFmtId="0" fontId="0" fillId="0" borderId="0" xfId="0" applyFont="1"/>
    <xf numFmtId="0" fontId="0" fillId="0" borderId="0" xfId="0" applyNumberFormat="1"/>
    <xf numFmtId="0" fontId="2" fillId="4" borderId="0" xfId="0" applyFont="1" applyFill="1"/>
    <xf numFmtId="0" fontId="0" fillId="4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right" indent="1"/>
    </xf>
    <xf numFmtId="0" fontId="1" fillId="0" borderId="0" xfId="1" applyAlignment="1">
      <alignment horizontal="right" indent="1"/>
    </xf>
    <xf numFmtId="0" fontId="2" fillId="2" borderId="0" xfId="0" applyFont="1" applyFill="1"/>
    <xf numFmtId="0" fontId="0" fillId="2" borderId="0" xfId="0" applyFill="1"/>
    <xf numFmtId="0" fontId="0" fillId="2" borderId="0" xfId="0" applyFont="1" applyFill="1"/>
    <xf numFmtId="0" fontId="2" fillId="7" borderId="0" xfId="2" applyFont="1" applyFill="1"/>
    <xf numFmtId="0" fontId="5" fillId="7" borderId="0" xfId="2" applyFill="1"/>
    <xf numFmtId="0" fontId="0" fillId="0" borderId="0" xfId="0" applyFont="1" applyFill="1"/>
    <xf numFmtId="0" fontId="0" fillId="0" borderId="0" xfId="0" applyFill="1"/>
    <xf numFmtId="0" fontId="0" fillId="0" borderId="0" xfId="0" applyFill="1" applyAlignment="1">
      <alignment horizontal="left"/>
    </xf>
    <xf numFmtId="0" fontId="1" fillId="0" borderId="0" xfId="1" applyFill="1"/>
    <xf numFmtId="0" fontId="0" fillId="0" borderId="0" xfId="0" applyNumberFormat="1" applyFill="1"/>
    <xf numFmtId="0" fontId="0" fillId="0" borderId="0" xfId="0" applyFill="1" applyAlignment="1"/>
    <xf numFmtId="0" fontId="5" fillId="0" borderId="0" xfId="2" applyFill="1"/>
    <xf numFmtId="0" fontId="2" fillId="0" borderId="0" xfId="0" applyFont="1" applyFill="1"/>
    <xf numFmtId="0" fontId="2" fillId="6" borderId="0" xfId="0" applyFont="1" applyFill="1"/>
    <xf numFmtId="0" fontId="6" fillId="0" borderId="0" xfId="0" quotePrefix="1" applyFont="1" applyFill="1"/>
    <xf numFmtId="0" fontId="1" fillId="0" borderId="0" xfId="1" applyAlignment="1">
      <alignment horizontal="right"/>
    </xf>
    <xf numFmtId="0" fontId="0" fillId="0" borderId="0" xfId="0" applyAlignment="1">
      <alignment horizontal="right"/>
    </xf>
    <xf numFmtId="0" fontId="1" fillId="0" borderId="0" xfId="1" applyNumberFormat="1" applyAlignment="1">
      <alignment horizontal="right"/>
    </xf>
    <xf numFmtId="0" fontId="6" fillId="0" borderId="0" xfId="0" applyFont="1" applyAlignment="1">
      <alignment wrapText="1"/>
    </xf>
    <xf numFmtId="0" fontId="7" fillId="0" borderId="0" xfId="0" applyFont="1"/>
    <xf numFmtId="0" fontId="0" fillId="0" borderId="0" xfId="0" applyFill="1" applyAlignment="1">
      <alignment wrapText="1"/>
    </xf>
    <xf numFmtId="0" fontId="0" fillId="0" borderId="0" xfId="0" applyFont="1" applyFill="1" applyAlignment="1">
      <alignment horizontal="right" indent="1"/>
    </xf>
    <xf numFmtId="0" fontId="7" fillId="0" borderId="0" xfId="0" applyFont="1" applyAlignment="1">
      <alignment vertical="top" wrapText="1"/>
    </xf>
    <xf numFmtId="0" fontId="0" fillId="0" borderId="0" xfId="0" quotePrefix="1" applyAlignment="1">
      <alignment wrapText="1"/>
    </xf>
  </cellXfs>
  <cellStyles count="3">
    <cellStyle name="Hyperlink" xfId="1" builtinId="8"/>
    <cellStyle name="Neutral" xfId="2" builtinId="28"/>
    <cellStyle name="Normal" xfId="0" builtinId="0"/>
  </cellStyles>
  <dxfs count="8"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alignment horizontal="general" vertical="bottom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1" justifyLastLine="0" shrinkToFit="0" readingOrder="0"/>
    </dxf>
  </dxfs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114300</xdr:rowOff>
        </xdr:from>
        <xdr:to>
          <xdr:col>3</xdr:col>
          <xdr:colOff>733425</xdr:colOff>
          <xdr:row>10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11</xdr:row>
          <xdr:rowOff>38100</xdr:rowOff>
        </xdr:from>
        <xdr:to>
          <xdr:col>3</xdr:col>
          <xdr:colOff>733425</xdr:colOff>
          <xdr:row>12</xdr:row>
          <xdr:rowOff>95250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11</xdr:row>
          <xdr:rowOff>38100</xdr:rowOff>
        </xdr:from>
        <xdr:to>
          <xdr:col>4</xdr:col>
          <xdr:colOff>542925</xdr:colOff>
          <xdr:row>11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11</xdr:row>
          <xdr:rowOff>28575</xdr:rowOff>
        </xdr:from>
        <xdr:to>
          <xdr:col>3</xdr:col>
          <xdr:colOff>876300</xdr:colOff>
          <xdr:row>11</xdr:row>
          <xdr:rowOff>200025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19049</xdr:rowOff>
        </xdr:from>
        <xdr:to>
          <xdr:col>2</xdr:col>
          <xdr:colOff>1247776</xdr:colOff>
          <xdr:row>15</xdr:row>
          <xdr:rowOff>19050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3933825</xdr:colOff>
          <xdr:row>5</xdr:row>
          <xdr:rowOff>180975</xdr:rowOff>
        </xdr:from>
        <xdr:to>
          <xdr:col>4</xdr:col>
          <xdr:colOff>5181600</xdr:colOff>
          <xdr:row>6</xdr:row>
          <xdr:rowOff>161925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1257301</xdr:colOff>
          <xdr:row>22</xdr:row>
          <xdr:rowOff>9525</xdr:rowOff>
        </xdr:from>
        <xdr:to>
          <xdr:col>2</xdr:col>
          <xdr:colOff>1828801</xdr:colOff>
          <xdr:row>22</xdr:row>
          <xdr:rowOff>180975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24</xdr:row>
          <xdr:rowOff>9525</xdr:rowOff>
        </xdr:from>
        <xdr:to>
          <xdr:col>2</xdr:col>
          <xdr:colOff>1857375</xdr:colOff>
          <xdr:row>24</xdr:row>
          <xdr:rowOff>180975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99CCFD86-E516-4F46-8132-452D591D0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</xdr:row>
          <xdr:rowOff>19049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4" growShrinkType="overwriteClear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3" name="Table13" displayName="Table13" ref="E11:H16" totalsRowCount="1">
  <autoFilter ref="E11:H15"/>
  <tableColumns count="4">
    <tableColumn id="1" name="ID" dataDxfId="5" totalsRowDxfId="0"/>
    <tableColumn id="2" name="address"/>
    <tableColumn id="3" name="type" totalsRowFunction="count"/>
    <tableColumn id="4" name="pkiID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id="4" name="chain" displayName="chain" ref="D23:E26" tableType="queryTable" totalsRowShown="0">
  <autoFilter ref="D23:E26"/>
  <tableColumns count="2">
    <tableColumn id="3" uniqueName="3" name="Name" queryTableFieldId="1" dataDxfId="2"/>
    <tableColumn id="2" uniqueName="2" name="Value" queryTableFieldId="2" dataDxfId="1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9" name="Table9" displayName="Table9" ref="D15:F151" totalsRowShown="0">
  <autoFilter ref="D15:F151"/>
  <tableColumns count="3">
    <tableColumn id="1" name="block-id" dataDxfId="7">
      <calculatedColumnFormula>MAX(CHAIN_HEIGHT-(ROW() - ROW(Table9[[#Headers],[block-id]])),-1)</calculatedColumnFormula>
    </tableColumn>
    <tableColumn id="2" name="REST URL" dataDxfId="6">
      <calculatedColumnFormula>IF( D16 &gt; -1, HYPERLINK($E$7 &amp; D16))</calculatedColumnFormula>
    </tableColumn>
    <tableColumn id="3" name="Raw Response">
      <calculatedColumnFormula>IF(D16&gt;-1, GetHypeRaw(E16,""))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p179694.aspx" TargetMode="External"/><Relationship Id="rId3" Type="http://schemas.openxmlformats.org/officeDocument/2006/relationships/hyperlink" Target="http://www.opensource.org/licenses/mit-license.php" TargetMode="External"/><Relationship Id="rId7" Type="http://schemas.openxmlformats.org/officeDocument/2006/relationships/hyperlink" Target="https://console.ng.bluemix.net/catalog/services/blockchain-hackathon/" TargetMode="Externa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github.com/VBA-tools/VBA-Web" TargetMode="External"/><Relationship Id="rId6" Type="http://schemas.openxmlformats.org/officeDocument/2006/relationships/hyperlink" Target="https://console.ng.bluemix.net/catalog/" TargetMode="External"/><Relationship Id="rId11" Type="http://schemas.openxmlformats.org/officeDocument/2006/relationships/hyperlink" Target="https://github.com/hyperledger/fabric/blob/master/docs/protocol-spec.md" TargetMode="External"/><Relationship Id="rId5" Type="http://schemas.openxmlformats.org/officeDocument/2006/relationships/hyperlink" Target="https://console.ng.bluemix.net/" TargetMode="External"/><Relationship Id="rId10" Type="http://schemas.openxmlformats.org/officeDocument/2006/relationships/hyperlink" Target="https://msdn.microsoft.com/en-us/library/office/ff192913.aspx" TargetMode="External"/><Relationship Id="rId4" Type="http://schemas.openxmlformats.org/officeDocument/2006/relationships/hyperlink" Target="https://console.ng.bluemix.net/docs/services/blockchain/ibmblockchain_overview.html" TargetMode="External"/><Relationship Id="rId9" Type="http://schemas.openxmlformats.org/officeDocument/2006/relationships/hyperlink" Target="https://konklone.io/jso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7"/>
  <sheetViews>
    <sheetView tabSelected="1" workbookViewId="0">
      <selection activeCell="D4" sqref="D4"/>
    </sheetView>
  </sheetViews>
  <sheetFormatPr defaultRowHeight="15" x14ac:dyDescent="0.25"/>
  <cols>
    <col min="1" max="1" width="2.42578125" customWidth="1"/>
    <col min="2" max="2" width="2.85546875" customWidth="1"/>
    <col min="3" max="3" width="33.85546875" customWidth="1"/>
    <col min="4" max="4" width="70.140625" bestFit="1" customWidth="1"/>
    <col min="5" max="5" width="17.42578125" customWidth="1"/>
    <col min="6" max="6" width="64.42578125" bestFit="1" customWidth="1"/>
    <col min="7" max="7" width="4.85546875" bestFit="1" customWidth="1"/>
    <col min="8" max="8" width="49.5703125" bestFit="1" customWidth="1"/>
  </cols>
  <sheetData>
    <row r="2" spans="1:6" x14ac:dyDescent="0.25">
      <c r="A2" s="2"/>
      <c r="B2" s="6" t="s">
        <v>76</v>
      </c>
      <c r="C2" s="6"/>
      <c r="D2" s="6"/>
      <c r="E2" s="6"/>
      <c r="F2" s="6"/>
    </row>
    <row r="3" spans="1:6" x14ac:dyDescent="0.25">
      <c r="A3" s="2"/>
      <c r="B3" s="6"/>
    </row>
    <row r="4" spans="1:6" x14ac:dyDescent="0.25">
      <c r="A4" s="2"/>
      <c r="B4" s="6"/>
      <c r="C4" s="3" t="s">
        <v>3</v>
      </c>
      <c r="D4" s="2"/>
    </row>
    <row r="5" spans="1:6" x14ac:dyDescent="0.25">
      <c r="B5" s="6"/>
    </row>
    <row r="7" spans="1:6" x14ac:dyDescent="0.25">
      <c r="D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7"/>
  <sheetViews>
    <sheetView workbookViewId="0">
      <selection activeCell="E7" sqref="E7"/>
    </sheetView>
  </sheetViews>
  <sheetFormatPr defaultRowHeight="15" x14ac:dyDescent="0.25"/>
  <cols>
    <col min="1" max="1" width="2.42578125" customWidth="1"/>
    <col min="2" max="2" width="2.85546875" customWidth="1"/>
    <col min="3" max="4" width="13.42578125" customWidth="1"/>
    <col min="5" max="5" width="15.5703125" customWidth="1"/>
    <col min="6" max="6" width="35.28515625" bestFit="1" customWidth="1"/>
    <col min="7" max="7" width="7.7109375" customWidth="1"/>
    <col min="8" max="8" width="49.5703125" bestFit="1" customWidth="1"/>
  </cols>
  <sheetData>
    <row r="2" spans="1:10" x14ac:dyDescent="0.25">
      <c r="A2" s="2"/>
      <c r="B2" s="6" t="s">
        <v>76</v>
      </c>
      <c r="C2" s="7"/>
      <c r="D2" s="7"/>
      <c r="E2" s="7"/>
      <c r="F2" s="7"/>
      <c r="G2" s="7"/>
      <c r="H2" s="7"/>
    </row>
    <row r="3" spans="1:10" x14ac:dyDescent="0.25">
      <c r="A3" s="2"/>
      <c r="B3" s="3"/>
      <c r="C3" s="3"/>
      <c r="D3" s="3"/>
      <c r="J3" s="1"/>
    </row>
    <row r="4" spans="1:10" x14ac:dyDescent="0.25">
      <c r="B4" s="8" t="s">
        <v>5</v>
      </c>
      <c r="C4" s="9"/>
      <c r="D4" s="9"/>
      <c r="E4" s="9"/>
      <c r="F4" s="9"/>
      <c r="G4" s="9"/>
      <c r="H4" s="9"/>
    </row>
    <row r="5" spans="1:10" x14ac:dyDescent="0.25">
      <c r="B5" s="9"/>
      <c r="C5" s="18" t="s">
        <v>49</v>
      </c>
      <c r="D5" s="18"/>
      <c r="E5" s="20" t="s">
        <v>4</v>
      </c>
      <c r="F5" s="19"/>
      <c r="G5" s="19"/>
      <c r="H5" s="19"/>
    </row>
    <row r="6" spans="1:10" x14ac:dyDescent="0.25">
      <c r="B6" s="9"/>
      <c r="C6" s="18" t="s">
        <v>6</v>
      </c>
      <c r="D6" s="18"/>
      <c r="E6" s="19" t="s">
        <v>7</v>
      </c>
      <c r="F6" s="19"/>
      <c r="G6" s="19"/>
      <c r="H6" s="19"/>
    </row>
    <row r="7" spans="1:10" x14ac:dyDescent="0.25">
      <c r="B7" s="9"/>
      <c r="C7" s="18" t="s">
        <v>73</v>
      </c>
      <c r="D7" s="18"/>
      <c r="E7" s="21" t="str">
        <f>HYPERLINK(BASE_URL &amp; NETWORK_URL_SUFFIX)</f>
        <v>/network/peers</v>
      </c>
      <c r="F7" s="19"/>
      <c r="G7" s="19"/>
      <c r="H7" s="19"/>
    </row>
    <row r="9" spans="1:10" ht="22.5" customHeight="1" x14ac:dyDescent="0.25">
      <c r="B9" s="13" t="s">
        <v>72</v>
      </c>
      <c r="C9" s="15"/>
      <c r="D9" s="15"/>
      <c r="E9" s="15"/>
      <c r="F9" s="15"/>
      <c r="G9" s="15"/>
      <c r="H9" s="15"/>
    </row>
    <row r="10" spans="1:10" x14ac:dyDescent="0.25">
      <c r="A10" s="2"/>
      <c r="B10" s="13"/>
      <c r="C10" s="18"/>
      <c r="D10" s="18"/>
      <c r="E10" s="18"/>
      <c r="F10" s="18"/>
      <c r="G10" s="18"/>
      <c r="H10" s="18"/>
      <c r="J10" s="1"/>
    </row>
    <row r="11" spans="1:10" x14ac:dyDescent="0.25">
      <c r="A11" s="2"/>
      <c r="B11" s="13"/>
      <c r="C11" s="18"/>
      <c r="D11" s="18"/>
      <c r="E11" t="s">
        <v>1</v>
      </c>
      <c r="F11" t="s">
        <v>74</v>
      </c>
      <c r="G11" t="s">
        <v>75</v>
      </c>
      <c r="H11" t="s">
        <v>2</v>
      </c>
      <c r="J11" s="1"/>
    </row>
    <row r="12" spans="1:10" x14ac:dyDescent="0.25">
      <c r="A12" s="2"/>
      <c r="B12" s="13"/>
      <c r="C12" s="18"/>
      <c r="D12" s="18"/>
      <c r="E12" s="1"/>
      <c r="F12" s="1"/>
      <c r="J12" s="1"/>
    </row>
    <row r="13" spans="1:10" x14ac:dyDescent="0.25">
      <c r="A13" s="2"/>
      <c r="B13" s="13"/>
      <c r="C13" s="18"/>
      <c r="D13" s="18"/>
      <c r="E13" s="1"/>
      <c r="F13" s="1"/>
      <c r="J13" s="1"/>
    </row>
    <row r="14" spans="1:10" x14ac:dyDescent="0.25">
      <c r="B14" s="14"/>
      <c r="C14" s="18"/>
      <c r="D14" s="18"/>
      <c r="E14" s="1"/>
      <c r="F14" s="1"/>
    </row>
    <row r="15" spans="1:10" x14ac:dyDescent="0.25">
      <c r="B15" s="14"/>
      <c r="C15" s="18"/>
      <c r="D15" s="18"/>
      <c r="E15" s="1"/>
      <c r="F15" s="1"/>
    </row>
    <row r="16" spans="1:10" x14ac:dyDescent="0.25">
      <c r="B16" s="14"/>
      <c r="C16" s="18"/>
      <c r="D16" s="18"/>
      <c r="E16" s="1"/>
      <c r="G16">
        <f>SUBTOTAL(103,Table13[type])</f>
        <v>0</v>
      </c>
    </row>
    <row r="17" spans="2:8" x14ac:dyDescent="0.25">
      <c r="B17" s="14"/>
      <c r="C17" s="19"/>
      <c r="D17" s="19"/>
      <c r="E17" s="19"/>
      <c r="F17" s="19"/>
      <c r="G17" s="19"/>
      <c r="H17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utton3_Click">
                <anchor moveWithCells="1">
                  <from>
                    <xdr:col>3</xdr:col>
                    <xdr:colOff>152400</xdr:colOff>
                    <xdr:row>9</xdr:row>
                    <xdr:rowOff>114300</xdr:rowOff>
                  </from>
                  <to>
                    <xdr:col>3</xdr:col>
                    <xdr:colOff>733425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Button4_Click">
                <anchor moveWithCells="1">
                  <from>
                    <xdr:col>3</xdr:col>
                    <xdr:colOff>133350</xdr:colOff>
                    <xdr:row>11</xdr:row>
                    <xdr:rowOff>38100</xdr:rowOff>
                  </from>
                  <to>
                    <xdr:col>3</xdr:col>
                    <xdr:colOff>733425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G28"/>
  <sheetViews>
    <sheetView workbookViewId="0">
      <selection activeCell="E18" sqref="E18"/>
    </sheetView>
  </sheetViews>
  <sheetFormatPr defaultRowHeight="15" x14ac:dyDescent="0.25"/>
  <cols>
    <col min="1" max="1" width="2.42578125" customWidth="1"/>
    <col min="2" max="2" width="2.85546875" customWidth="1"/>
    <col min="3" max="3" width="30.28515625" customWidth="1"/>
    <col min="4" max="4" width="18" customWidth="1"/>
    <col min="5" max="5" width="95.5703125" customWidth="1"/>
    <col min="6" max="6" width="18.7109375" customWidth="1"/>
    <col min="7" max="8" width="9.28515625" customWidth="1"/>
  </cols>
  <sheetData>
    <row r="2" spans="2:7" x14ac:dyDescent="0.25">
      <c r="B2" s="6" t="s">
        <v>76</v>
      </c>
      <c r="C2" s="7"/>
      <c r="D2" s="7"/>
      <c r="E2" s="7"/>
      <c r="F2" s="7"/>
    </row>
    <row r="3" spans="2:7" x14ac:dyDescent="0.25">
      <c r="G3" s="1"/>
    </row>
    <row r="4" spans="2:7" x14ac:dyDescent="0.25">
      <c r="B4" s="8" t="s">
        <v>5</v>
      </c>
      <c r="C4" s="9"/>
      <c r="D4" s="9"/>
      <c r="E4" s="9"/>
      <c r="F4" s="9"/>
      <c r="G4" s="1"/>
    </row>
    <row r="5" spans="2:7" x14ac:dyDescent="0.25">
      <c r="B5" s="9"/>
      <c r="C5" s="18" t="s">
        <v>49</v>
      </c>
      <c r="D5" s="20" t="s">
        <v>4</v>
      </c>
      <c r="E5" s="19"/>
      <c r="F5" s="19"/>
      <c r="G5" s="1"/>
    </row>
    <row r="6" spans="2:7" x14ac:dyDescent="0.25">
      <c r="B6" s="9"/>
      <c r="C6" s="18" t="s">
        <v>6</v>
      </c>
      <c r="D6" s="19" t="s">
        <v>47</v>
      </c>
      <c r="E6" s="19"/>
      <c r="F6" s="19"/>
      <c r="G6" s="1"/>
    </row>
    <row r="7" spans="2:7" x14ac:dyDescent="0.25">
      <c r="B7" s="9"/>
      <c r="C7" s="18" t="s">
        <v>58</v>
      </c>
      <c r="D7" s="21" t="str">
        <f>HYPERLINK(BASE_URL &amp; D6)</f>
        <v>/chain</v>
      </c>
      <c r="E7" s="19"/>
      <c r="F7" s="19"/>
    </row>
    <row r="8" spans="2:7" x14ac:dyDescent="0.25">
      <c r="B8" s="9"/>
      <c r="C8" s="18" t="s">
        <v>59</v>
      </c>
      <c r="D8" s="19" t="s">
        <v>51</v>
      </c>
      <c r="E8" s="19"/>
      <c r="F8" s="19"/>
    </row>
    <row r="9" spans="2:7" x14ac:dyDescent="0.25">
      <c r="C9" s="4"/>
    </row>
    <row r="11" spans="2:7" x14ac:dyDescent="0.25">
      <c r="B11" s="13" t="s">
        <v>106</v>
      </c>
      <c r="C11" s="15"/>
      <c r="D11" s="14"/>
      <c r="E11" s="15"/>
      <c r="F11" s="14"/>
    </row>
    <row r="12" spans="2:7" ht="18" customHeight="1" x14ac:dyDescent="0.25">
      <c r="B12" s="13"/>
    </row>
    <row r="13" spans="2:7" x14ac:dyDescent="0.25">
      <c r="B13" s="14"/>
      <c r="C13" s="34" t="s">
        <v>95</v>
      </c>
      <c r="D13" s="20"/>
      <c r="E13" s="19"/>
      <c r="F13" s="19"/>
    </row>
    <row r="14" spans="2:7" x14ac:dyDescent="0.25">
      <c r="B14" s="13"/>
      <c r="C14" s="34" t="s">
        <v>96</v>
      </c>
      <c r="D14" s="33"/>
      <c r="E14" s="18"/>
      <c r="F14" s="19"/>
    </row>
    <row r="15" spans="2:7" x14ac:dyDescent="0.25">
      <c r="B15" s="13"/>
      <c r="C15" s="34" t="s">
        <v>97</v>
      </c>
      <c r="D15" s="23"/>
      <c r="E15" s="18"/>
      <c r="F15" s="19"/>
    </row>
    <row r="16" spans="2:7" x14ac:dyDescent="0.25">
      <c r="B16" s="13"/>
      <c r="C16" s="34" t="s">
        <v>98</v>
      </c>
      <c r="D16" s="18"/>
      <c r="E16" s="18"/>
      <c r="F16" s="22"/>
      <c r="G16" s="5"/>
    </row>
    <row r="17" spans="2:7" x14ac:dyDescent="0.25">
      <c r="B17" s="13"/>
      <c r="C17" s="19"/>
      <c r="D17" s="18"/>
      <c r="E17" s="18"/>
      <c r="F17" s="22"/>
      <c r="G17" s="5"/>
    </row>
    <row r="18" spans="2:7" x14ac:dyDescent="0.25">
      <c r="B18" s="14"/>
      <c r="C18" s="19"/>
      <c r="D18" s="19"/>
      <c r="E18" s="19"/>
      <c r="F18" s="19"/>
    </row>
    <row r="19" spans="2:7" x14ac:dyDescent="0.25">
      <c r="B19" s="14"/>
      <c r="C19" s="19"/>
      <c r="D19" s="19"/>
      <c r="E19" s="19"/>
      <c r="F19" s="19"/>
    </row>
    <row r="21" spans="2:7" x14ac:dyDescent="0.25">
      <c r="B21" s="16" t="s">
        <v>99</v>
      </c>
      <c r="C21" s="17"/>
      <c r="D21" s="17"/>
      <c r="E21" s="17"/>
      <c r="F21" s="17"/>
    </row>
    <row r="22" spans="2:7" x14ac:dyDescent="0.25">
      <c r="B22" s="16"/>
    </row>
    <row r="23" spans="2:7" x14ac:dyDescent="0.25">
      <c r="B23" s="17"/>
      <c r="C23" s="24"/>
      <c r="D23" s="5" t="s">
        <v>56</v>
      </c>
      <c r="E23" s="5" t="s">
        <v>57</v>
      </c>
      <c r="F23" s="24"/>
    </row>
    <row r="24" spans="2:7" x14ac:dyDescent="0.25">
      <c r="B24" s="17"/>
      <c r="C24" s="24"/>
      <c r="D24" s="5"/>
      <c r="E24" s="5"/>
      <c r="F24" s="24"/>
    </row>
    <row r="25" spans="2:7" x14ac:dyDescent="0.25">
      <c r="B25" s="17"/>
      <c r="C25" s="24"/>
      <c r="D25" s="5"/>
      <c r="E25" s="5"/>
      <c r="F25" s="24"/>
    </row>
    <row r="26" spans="2:7" x14ac:dyDescent="0.25">
      <c r="B26" s="17"/>
      <c r="C26" s="24"/>
      <c r="D26" s="5"/>
      <c r="E26" s="5"/>
      <c r="F26" s="24"/>
    </row>
    <row r="27" spans="2:7" x14ac:dyDescent="0.25">
      <c r="B27" s="17"/>
      <c r="C27" s="24"/>
      <c r="D27" s="24"/>
      <c r="E27" s="24"/>
      <c r="F27" s="24"/>
    </row>
    <row r="28" spans="2:7" ht="90" x14ac:dyDescent="0.25">
      <c r="B28" s="17"/>
      <c r="C28" s="29" t="s">
        <v>112</v>
      </c>
      <c r="D28" t="s">
        <v>111</v>
      </c>
      <c r="E28" s="36" t="s">
        <v>110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hain_Invoke_Button_Click">
                <anchor moveWithCells="1">
                  <from>
                    <xdr:col>4</xdr:col>
                    <xdr:colOff>47625</xdr:colOff>
                    <xdr:row>11</xdr:row>
                    <xdr:rowOff>38100</xdr:rowOff>
                  </from>
                  <to>
                    <xdr:col>4</xdr:col>
                    <xdr:colOff>542925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hain_Clear_Button_Click">
                <anchor moveWithCells="1">
                  <from>
                    <xdr:col>3</xdr:col>
                    <xdr:colOff>238125</xdr:colOff>
                    <xdr:row>11</xdr:row>
                    <xdr:rowOff>28575</xdr:rowOff>
                  </from>
                  <to>
                    <xdr:col>3</xdr:col>
                    <xdr:colOff>876300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hain_Copy_To_Clipboard_Button_2_Click">
                <anchor moveWithCells="1">
                  <from>
                    <xdr:col>2</xdr:col>
                    <xdr:colOff>95250</xdr:colOff>
                    <xdr:row>14</xdr:row>
                    <xdr:rowOff>19050</xdr:rowOff>
                  </from>
                  <to>
                    <xdr:col>2</xdr:col>
                    <xdr:colOff>1247775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Chain_Copy_To_Clipboard_Button_1_Click">
                <anchor moveWithCells="1">
                  <from>
                    <xdr:col>4</xdr:col>
                    <xdr:colOff>3933825</xdr:colOff>
                    <xdr:row>5</xdr:row>
                    <xdr:rowOff>180975</xdr:rowOff>
                  </from>
                  <to>
                    <xdr:col>4</xdr:col>
                    <xdr:colOff>5181600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Chain_Refresh_Query_Button_2_Click">
                <anchor moveWithCells="1" sizeWithCells="1">
                  <from>
                    <xdr:col>2</xdr:col>
                    <xdr:colOff>1257300</xdr:colOff>
                    <xdr:row>22</xdr:row>
                    <xdr:rowOff>9525</xdr:rowOff>
                  </from>
                  <to>
                    <xdr:col>2</xdr:col>
                    <xdr:colOff>1828800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Button 7">
              <controlPr defaultSize="0" print="0" autoFill="0" autoPict="0" macro="[0]!Chain_Clear_Button_2_Click">
                <anchor moveWithCells="1">
                  <from>
                    <xdr:col>2</xdr:col>
                    <xdr:colOff>1219200</xdr:colOff>
                    <xdr:row>24</xdr:row>
                    <xdr:rowOff>9525</xdr:rowOff>
                  </from>
                  <to>
                    <xdr:col>2</xdr:col>
                    <xdr:colOff>1857375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F152"/>
  <sheetViews>
    <sheetView zoomScaleNormal="100" workbookViewId="0">
      <selection activeCell="F24" sqref="F24"/>
    </sheetView>
  </sheetViews>
  <sheetFormatPr defaultRowHeight="15" x14ac:dyDescent="0.25"/>
  <cols>
    <col min="1" max="1" width="2.42578125" customWidth="1"/>
    <col min="2" max="2" width="2.85546875" customWidth="1"/>
    <col min="3" max="3" width="12.28515625" customWidth="1"/>
    <col min="4" max="4" width="11.7109375" customWidth="1"/>
    <col min="5" max="5" width="15.28515625" customWidth="1"/>
    <col min="6" max="6" width="143.42578125" customWidth="1"/>
  </cols>
  <sheetData>
    <row r="2" spans="2:6" x14ac:dyDescent="0.25">
      <c r="B2" s="6" t="s">
        <v>76</v>
      </c>
      <c r="C2" s="7"/>
      <c r="D2" s="7"/>
      <c r="E2" s="7"/>
      <c r="F2" s="7"/>
    </row>
    <row r="4" spans="2:6" x14ac:dyDescent="0.25">
      <c r="B4" s="8" t="s">
        <v>5</v>
      </c>
      <c r="C4" s="9"/>
      <c r="D4" s="9"/>
      <c r="E4" s="9"/>
      <c r="F4" s="9"/>
    </row>
    <row r="5" spans="2:6" x14ac:dyDescent="0.25">
      <c r="B5" s="9"/>
      <c r="C5" s="18" t="s">
        <v>49</v>
      </c>
      <c r="D5" s="19"/>
      <c r="E5" s="20" t="s">
        <v>4</v>
      </c>
      <c r="F5" s="19"/>
    </row>
    <row r="6" spans="2:6" x14ac:dyDescent="0.25">
      <c r="B6" s="9"/>
      <c r="C6" s="18" t="s">
        <v>6</v>
      </c>
      <c r="D6" s="19"/>
      <c r="E6" s="19" t="s">
        <v>64</v>
      </c>
      <c r="F6" s="19"/>
    </row>
    <row r="7" spans="2:6" x14ac:dyDescent="0.25">
      <c r="B7" s="9"/>
      <c r="C7" s="19" t="s">
        <v>50</v>
      </c>
      <c r="D7" s="19"/>
      <c r="E7" s="21" t="str">
        <f>HYPERLINK(BASE_URL &amp; E6)</f>
        <v>/chain/blocks/</v>
      </c>
      <c r="F7" s="19"/>
    </row>
    <row r="8" spans="2:6" ht="21" customHeight="1" x14ac:dyDescent="0.25">
      <c r="C8" s="4"/>
      <c r="E8" t="s">
        <v>100</v>
      </c>
    </row>
    <row r="9" spans="2:6" ht="21" customHeight="1" x14ac:dyDescent="0.25">
      <c r="C9" s="4"/>
    </row>
    <row r="10" spans="2:6" x14ac:dyDescent="0.25">
      <c r="B10" s="13" t="s">
        <v>101</v>
      </c>
      <c r="C10" s="14"/>
      <c r="D10" s="14"/>
      <c r="E10" s="14"/>
      <c r="F10" s="14"/>
    </row>
    <row r="11" spans="2:6" x14ac:dyDescent="0.25">
      <c r="B11" s="13"/>
      <c r="C11" s="19"/>
      <c r="D11" s="19"/>
      <c r="E11" s="19"/>
      <c r="F11" s="19"/>
    </row>
    <row r="12" spans="2:6" x14ac:dyDescent="0.25">
      <c r="B12" s="14"/>
      <c r="C12" s="19" t="s">
        <v>66</v>
      </c>
      <c r="D12" s="19">
        <f>CHAIN_HEIGHT</f>
        <v>0</v>
      </c>
      <c r="E12" s="27" t="s">
        <v>102</v>
      </c>
      <c r="F12" s="19"/>
    </row>
    <row r="13" spans="2:6" x14ac:dyDescent="0.25">
      <c r="B13" s="14"/>
      <c r="C13" s="19" t="s">
        <v>67</v>
      </c>
      <c r="D13" s="19">
        <v>0</v>
      </c>
      <c r="E13" s="19"/>
      <c r="F13" s="19"/>
    </row>
    <row r="14" spans="2:6" x14ac:dyDescent="0.25">
      <c r="B14" s="14"/>
      <c r="C14" s="19"/>
      <c r="D14" s="19"/>
      <c r="E14" s="19"/>
      <c r="F14" s="19"/>
    </row>
    <row r="15" spans="2:6" x14ac:dyDescent="0.25">
      <c r="B15" s="14"/>
      <c r="C15" s="19"/>
      <c r="D15" t="s">
        <v>63</v>
      </c>
      <c r="E15" t="s">
        <v>65</v>
      </c>
      <c r="F15" t="s">
        <v>48</v>
      </c>
    </row>
    <row r="16" spans="2:6" x14ac:dyDescent="0.25">
      <c r="B16" s="14"/>
      <c r="C16" s="19"/>
      <c r="D16" s="11">
        <f>MAX(CHAIN_HEIGHT-(ROW() - ROW(Table9[[#Headers],[block-id]])),-1)</f>
        <v>-1</v>
      </c>
      <c r="E16" s="28" t="b">
        <f t="shared" ref="E16:E47" si="0">IF( D16 &gt; -1, HYPERLINK($E$7 &amp; D16))</f>
        <v>0</v>
      </c>
      <c r="F16" t="b">
        <f>IF(D16&gt;-1, GetHypeRaw(E16,""))</f>
        <v>0</v>
      </c>
    </row>
    <row r="17" spans="2:6" x14ac:dyDescent="0.25">
      <c r="B17" s="14"/>
      <c r="C17" s="19"/>
      <c r="D17" s="11">
        <f>MAX(CHAIN_HEIGHT-(ROW() - ROW(Table9[[#Headers],[block-id]])),-1)</f>
        <v>-1</v>
      </c>
      <c r="E17" s="28" t="b">
        <f t="shared" si="0"/>
        <v>0</v>
      </c>
      <c r="F17" t="b">
        <f>IF(D17&gt;-1, GetHypeRaw(E17,""))</f>
        <v>0</v>
      </c>
    </row>
    <row r="18" spans="2:6" x14ac:dyDescent="0.25">
      <c r="B18" s="14"/>
      <c r="C18" s="19"/>
      <c r="D18" s="11">
        <f>MAX(CHAIN_HEIGHT-(ROW() - ROW(Table9[[#Headers],[block-id]])),-1)</f>
        <v>-1</v>
      </c>
      <c r="E18" s="28" t="b">
        <f t="shared" si="0"/>
        <v>0</v>
      </c>
      <c r="F18" t="b">
        <f>IF(D18&gt;-1, GetHypeRaw(E18,""))</f>
        <v>0</v>
      </c>
    </row>
    <row r="19" spans="2:6" x14ac:dyDescent="0.25">
      <c r="B19" s="14"/>
      <c r="C19" s="19"/>
      <c r="D19" s="11">
        <f>MAX(CHAIN_HEIGHT-(ROW() - ROW(Table9[[#Headers],[block-id]])),-1)</f>
        <v>-1</v>
      </c>
      <c r="E19" s="28" t="b">
        <f t="shared" si="0"/>
        <v>0</v>
      </c>
      <c r="F19" t="b">
        <f>IF(D19&gt;-1, GetHypeRaw(E19,""))</f>
        <v>0</v>
      </c>
    </row>
    <row r="20" spans="2:6" x14ac:dyDescent="0.25">
      <c r="B20" s="14"/>
      <c r="C20" s="19"/>
      <c r="D20" s="11">
        <f>MAX(CHAIN_HEIGHT-(ROW() - ROW(Table9[[#Headers],[block-id]])),-1)</f>
        <v>-1</v>
      </c>
      <c r="E20" s="28" t="b">
        <f t="shared" si="0"/>
        <v>0</v>
      </c>
      <c r="F20" t="b">
        <f>IF(D20&gt;-1, GetHypeRaw(E20,""))</f>
        <v>0</v>
      </c>
    </row>
    <row r="21" spans="2:6" x14ac:dyDescent="0.25">
      <c r="B21" s="14"/>
      <c r="C21" s="19"/>
      <c r="D21" s="11">
        <f>MAX(CHAIN_HEIGHT-(ROW() - ROW(Table9[[#Headers],[block-id]])),-1)</f>
        <v>-1</v>
      </c>
      <c r="E21" s="28" t="b">
        <f t="shared" si="0"/>
        <v>0</v>
      </c>
      <c r="F21" t="b">
        <f>IF(D21&gt;-1, GetHypeRaw(E21,""))</f>
        <v>0</v>
      </c>
    </row>
    <row r="22" spans="2:6" x14ac:dyDescent="0.25">
      <c r="B22" s="14"/>
      <c r="C22" s="19"/>
      <c r="D22" s="11">
        <f>MAX(CHAIN_HEIGHT-(ROW() - ROW(Table9[[#Headers],[block-id]])),-1)</f>
        <v>-1</v>
      </c>
      <c r="E22" s="29" t="b">
        <f t="shared" si="0"/>
        <v>0</v>
      </c>
      <c r="F22" t="b">
        <f>IF(D22&gt;-1, GetHypeRaw(E22,""))</f>
        <v>0</v>
      </c>
    </row>
    <row r="23" spans="2:6" x14ac:dyDescent="0.25">
      <c r="B23" s="14"/>
      <c r="C23" s="19"/>
      <c r="D23" s="11">
        <f>MAX(CHAIN_HEIGHT-(ROW() - ROW(Table9[[#Headers],[block-id]])),-1)</f>
        <v>-1</v>
      </c>
      <c r="E23" s="29" t="b">
        <f t="shared" si="0"/>
        <v>0</v>
      </c>
      <c r="F23" t="b">
        <f>IF(D23&gt;-1, GetHypeRaw(E23,""))</f>
        <v>0</v>
      </c>
    </row>
    <row r="24" spans="2:6" x14ac:dyDescent="0.25">
      <c r="B24" s="14"/>
      <c r="C24" s="19"/>
      <c r="D24" s="11">
        <f>MAX(CHAIN_HEIGHT-(ROW() - ROW(Table9[[#Headers],[block-id]])),-1)</f>
        <v>-1</v>
      </c>
      <c r="E24" s="29" t="b">
        <f t="shared" si="0"/>
        <v>0</v>
      </c>
      <c r="F24" t="b">
        <f>IF(D24&gt;-1, GetHypeRaw(E24,""))</f>
        <v>0</v>
      </c>
    </row>
    <row r="25" spans="2:6" x14ac:dyDescent="0.25">
      <c r="B25" s="14"/>
      <c r="C25" s="19"/>
      <c r="D25" s="11">
        <f>MAX(CHAIN_HEIGHT-(ROW() - ROW(Table9[[#Headers],[block-id]])),-1)</f>
        <v>-1</v>
      </c>
      <c r="E25" s="29" t="b">
        <f t="shared" si="0"/>
        <v>0</v>
      </c>
      <c r="F25" t="b">
        <f>IF(D25&gt;-1, GetHypeRaw(E25,""))</f>
        <v>0</v>
      </c>
    </row>
    <row r="26" spans="2:6" x14ac:dyDescent="0.25">
      <c r="B26" s="14"/>
      <c r="C26" s="19"/>
      <c r="D26" s="11">
        <f>MAX(CHAIN_HEIGHT-(ROW() - ROW(Table9[[#Headers],[block-id]])),-1)</f>
        <v>-1</v>
      </c>
      <c r="E26" s="29" t="b">
        <f t="shared" si="0"/>
        <v>0</v>
      </c>
      <c r="F26" t="b">
        <f>IF(D26&gt;-1, GetHypeRaw(E26,""))</f>
        <v>0</v>
      </c>
    </row>
    <row r="27" spans="2:6" x14ac:dyDescent="0.25">
      <c r="B27" s="14"/>
      <c r="C27" s="19"/>
      <c r="D27" s="11">
        <f>MAX(CHAIN_HEIGHT-(ROW() - ROW(Table9[[#Headers],[block-id]])),-1)</f>
        <v>-1</v>
      </c>
      <c r="E27" s="29" t="b">
        <f t="shared" si="0"/>
        <v>0</v>
      </c>
      <c r="F27" t="b">
        <f>IF(D27&gt;-1, GetHypeRaw(E27,""))</f>
        <v>0</v>
      </c>
    </row>
    <row r="28" spans="2:6" x14ac:dyDescent="0.25">
      <c r="B28" s="14"/>
      <c r="C28" s="19"/>
      <c r="D28" s="11">
        <f>MAX(CHAIN_HEIGHT-(ROW() - ROW(Table9[[#Headers],[block-id]])),-1)</f>
        <v>-1</v>
      </c>
      <c r="E28" s="29" t="b">
        <f t="shared" si="0"/>
        <v>0</v>
      </c>
      <c r="F28" t="b">
        <f>IF(D28&gt;-1, GetHypeRaw(E28,""))</f>
        <v>0</v>
      </c>
    </row>
    <row r="29" spans="2:6" x14ac:dyDescent="0.25">
      <c r="B29" s="14"/>
      <c r="C29" s="19"/>
      <c r="D29" s="11">
        <f>MAX(CHAIN_HEIGHT-(ROW() - ROW(Table9[[#Headers],[block-id]])),-1)</f>
        <v>-1</v>
      </c>
      <c r="E29" s="29" t="b">
        <f t="shared" si="0"/>
        <v>0</v>
      </c>
      <c r="F29" t="b">
        <f>IF(D29&gt;-1, GetHypeRaw(E29,""))</f>
        <v>0</v>
      </c>
    </row>
    <row r="30" spans="2:6" x14ac:dyDescent="0.25">
      <c r="B30" s="14"/>
      <c r="C30" s="19"/>
      <c r="D30" s="11">
        <f>MAX(CHAIN_HEIGHT-(ROW() - ROW(Table9[[#Headers],[block-id]])),-1)</f>
        <v>-1</v>
      </c>
      <c r="E30" s="29" t="b">
        <f t="shared" si="0"/>
        <v>0</v>
      </c>
      <c r="F30" t="b">
        <f>IF(D30&gt;-1, GetHypeRaw(E30,""))</f>
        <v>0</v>
      </c>
    </row>
    <row r="31" spans="2:6" x14ac:dyDescent="0.25">
      <c r="B31" s="14"/>
      <c r="C31" s="19"/>
      <c r="D31" s="11">
        <f>MAX(CHAIN_HEIGHT-(ROW() - ROW(Table9[[#Headers],[block-id]])),-1)</f>
        <v>-1</v>
      </c>
      <c r="E31" s="29" t="b">
        <f t="shared" si="0"/>
        <v>0</v>
      </c>
      <c r="F31" t="b">
        <f>IF(D31&gt;-1, GetHypeRaw(E31,""))</f>
        <v>0</v>
      </c>
    </row>
    <row r="32" spans="2:6" x14ac:dyDescent="0.25">
      <c r="B32" s="14"/>
      <c r="C32" s="19"/>
      <c r="D32" s="12">
        <f>MAX(CHAIN_HEIGHT-(ROW() - ROW(Table9[[#Headers],[block-id]])),-1)</f>
        <v>-1</v>
      </c>
      <c r="E32" s="30" t="b">
        <f t="shared" si="0"/>
        <v>0</v>
      </c>
      <c r="F32" t="b">
        <f>IF(D32&gt;-1, GetHypeRaw(E32,""))</f>
        <v>0</v>
      </c>
    </row>
    <row r="33" spans="2:6" x14ac:dyDescent="0.25">
      <c r="B33" s="14"/>
      <c r="C33" s="19"/>
      <c r="D33" s="11">
        <f>MAX(CHAIN_HEIGHT-(ROW() - ROW(Table9[[#Headers],[block-id]])),-1)</f>
        <v>-1</v>
      </c>
      <c r="E33" s="30" t="b">
        <f t="shared" si="0"/>
        <v>0</v>
      </c>
      <c r="F33" t="b">
        <f>IF(D33&gt;-1, GetHypeRaw(E33,""))</f>
        <v>0</v>
      </c>
    </row>
    <row r="34" spans="2:6" x14ac:dyDescent="0.25">
      <c r="B34" s="14"/>
      <c r="C34" s="19"/>
      <c r="D34" s="11">
        <f>MAX(CHAIN_HEIGHT-(ROW() - ROW(Table9[[#Headers],[block-id]])),-1)</f>
        <v>-1</v>
      </c>
      <c r="E34" s="30" t="b">
        <f t="shared" si="0"/>
        <v>0</v>
      </c>
      <c r="F34" t="b">
        <f>IF(D34&gt;-1, GetHypeRaw(E34,""))</f>
        <v>0</v>
      </c>
    </row>
    <row r="35" spans="2:6" x14ac:dyDescent="0.25">
      <c r="B35" s="14"/>
      <c r="C35" s="19"/>
      <c r="D35" s="11">
        <f>MAX(CHAIN_HEIGHT-(ROW() - ROW(Table9[[#Headers],[block-id]])),-1)</f>
        <v>-1</v>
      </c>
      <c r="E35" s="30" t="b">
        <f t="shared" si="0"/>
        <v>0</v>
      </c>
      <c r="F35" t="b">
        <f>IF(D35&gt;-1, GetHypeRaw(E35,""))</f>
        <v>0</v>
      </c>
    </row>
    <row r="36" spans="2:6" x14ac:dyDescent="0.25">
      <c r="B36" s="14"/>
      <c r="C36" s="19"/>
      <c r="D36" s="11">
        <f>MAX(CHAIN_HEIGHT-(ROW() - ROW(Table9[[#Headers],[block-id]])),-1)</f>
        <v>-1</v>
      </c>
      <c r="E36" s="30" t="b">
        <f t="shared" si="0"/>
        <v>0</v>
      </c>
      <c r="F36" t="b">
        <f>IF(D36&gt;-1, GetHypeRaw(E36,""))</f>
        <v>0</v>
      </c>
    </row>
    <row r="37" spans="2:6" x14ac:dyDescent="0.25">
      <c r="B37" s="14"/>
      <c r="C37" s="19"/>
      <c r="D37" s="11">
        <f>MAX(CHAIN_HEIGHT-(ROW() - ROW(Table9[[#Headers],[block-id]])),-1)</f>
        <v>-1</v>
      </c>
      <c r="E37" s="30" t="b">
        <f t="shared" si="0"/>
        <v>0</v>
      </c>
      <c r="F37" t="b">
        <f>IF(D37&gt;-1, GetHypeRaw(E37,""))</f>
        <v>0</v>
      </c>
    </row>
    <row r="38" spans="2:6" x14ac:dyDescent="0.25">
      <c r="B38" s="14"/>
      <c r="C38" s="19"/>
      <c r="D38" s="11">
        <f>MAX(CHAIN_HEIGHT-(ROW() - ROW(Table9[[#Headers],[block-id]])),-1)</f>
        <v>-1</v>
      </c>
      <c r="E38" s="30" t="b">
        <f t="shared" si="0"/>
        <v>0</v>
      </c>
      <c r="F38" t="b">
        <f>IF(D38&gt;-1, GetHypeRaw(E38,""))</f>
        <v>0</v>
      </c>
    </row>
    <row r="39" spans="2:6" x14ac:dyDescent="0.25">
      <c r="B39" s="14"/>
      <c r="C39" s="19"/>
      <c r="D39" s="11">
        <f>MAX(CHAIN_HEIGHT-(ROW() - ROW(Table9[[#Headers],[block-id]])),-1)</f>
        <v>-1</v>
      </c>
      <c r="E39" s="30" t="b">
        <f t="shared" si="0"/>
        <v>0</v>
      </c>
      <c r="F39" t="b">
        <f>IF(D39&gt;-1, GetHypeRaw(E39,""))</f>
        <v>0</v>
      </c>
    </row>
    <row r="40" spans="2:6" x14ac:dyDescent="0.25">
      <c r="B40" s="14"/>
      <c r="C40" s="19"/>
      <c r="D40" s="11">
        <f>MAX(CHAIN_HEIGHT-(ROW() - ROW(Table9[[#Headers],[block-id]])),-1)</f>
        <v>-1</v>
      </c>
      <c r="E40" s="30" t="b">
        <f t="shared" si="0"/>
        <v>0</v>
      </c>
      <c r="F40" t="b">
        <f>IF(D40&gt;-1, GetHypeRaw(E40,""))</f>
        <v>0</v>
      </c>
    </row>
    <row r="41" spans="2:6" x14ac:dyDescent="0.25">
      <c r="B41" s="14"/>
      <c r="C41" s="19"/>
      <c r="D41" s="11">
        <f>MAX(CHAIN_HEIGHT-(ROW() - ROW(Table9[[#Headers],[block-id]])),-1)</f>
        <v>-1</v>
      </c>
      <c r="E41" s="30" t="b">
        <f t="shared" si="0"/>
        <v>0</v>
      </c>
      <c r="F41" t="b">
        <f>IF(D41&gt;-1, GetHypeRaw(E41,""))</f>
        <v>0</v>
      </c>
    </row>
    <row r="42" spans="2:6" x14ac:dyDescent="0.25">
      <c r="B42" s="14"/>
      <c r="C42" s="19"/>
      <c r="D42" s="11">
        <f>MAX(CHAIN_HEIGHT-(ROW() - ROW(Table9[[#Headers],[block-id]])),-1)</f>
        <v>-1</v>
      </c>
      <c r="E42" s="30" t="b">
        <f t="shared" si="0"/>
        <v>0</v>
      </c>
      <c r="F42" t="b">
        <f>IF(D42&gt;-1, GetHypeRaw(E42,""))</f>
        <v>0</v>
      </c>
    </row>
    <row r="43" spans="2:6" x14ac:dyDescent="0.25">
      <c r="B43" s="14"/>
      <c r="C43" s="19"/>
      <c r="D43" s="11">
        <f>MAX(CHAIN_HEIGHT-(ROW() - ROW(Table9[[#Headers],[block-id]])),-1)</f>
        <v>-1</v>
      </c>
      <c r="E43" s="30" t="b">
        <f t="shared" si="0"/>
        <v>0</v>
      </c>
      <c r="F43" t="b">
        <f>IF(D43&gt;-1, GetHypeRaw(E43,""))</f>
        <v>0</v>
      </c>
    </row>
    <row r="44" spans="2:6" x14ac:dyDescent="0.25">
      <c r="B44" s="14"/>
      <c r="C44" s="19"/>
      <c r="D44" s="11">
        <f>MAX(CHAIN_HEIGHT-(ROW() - ROW(Table9[[#Headers],[block-id]])),-1)</f>
        <v>-1</v>
      </c>
      <c r="E44" s="30" t="b">
        <f t="shared" si="0"/>
        <v>0</v>
      </c>
      <c r="F44" t="b">
        <f>IF(D44&gt;-1, GetHypeRaw(E44,""))</f>
        <v>0</v>
      </c>
    </row>
    <row r="45" spans="2:6" x14ac:dyDescent="0.25">
      <c r="B45" s="14"/>
      <c r="C45" s="19"/>
      <c r="D45" s="11">
        <f>MAX(CHAIN_HEIGHT-(ROW() - ROW(Table9[[#Headers],[block-id]])),-1)</f>
        <v>-1</v>
      </c>
      <c r="E45" s="30" t="b">
        <f t="shared" si="0"/>
        <v>0</v>
      </c>
      <c r="F45" t="b">
        <f>IF(D45&gt;-1, GetHypeRaw(E45,""))</f>
        <v>0</v>
      </c>
    </row>
    <row r="46" spans="2:6" x14ac:dyDescent="0.25">
      <c r="B46" s="14"/>
      <c r="C46" s="19"/>
      <c r="D46" s="11">
        <f>MAX(CHAIN_HEIGHT-(ROW() - ROW(Table9[[#Headers],[block-id]])),-1)</f>
        <v>-1</v>
      </c>
      <c r="E46" s="30" t="b">
        <f t="shared" si="0"/>
        <v>0</v>
      </c>
      <c r="F46" t="b">
        <f>IF(D46&gt;-1, GetHypeRaw(E46,""))</f>
        <v>0</v>
      </c>
    </row>
    <row r="47" spans="2:6" x14ac:dyDescent="0.25">
      <c r="B47" s="14"/>
      <c r="C47" s="19"/>
      <c r="D47" s="11">
        <f>MAX(CHAIN_HEIGHT-(ROW() - ROW(Table9[[#Headers],[block-id]])),-1)</f>
        <v>-1</v>
      </c>
      <c r="E47" s="30" t="b">
        <f t="shared" si="0"/>
        <v>0</v>
      </c>
      <c r="F47" t="b">
        <f>IF(D47&gt;-1, GetHypeRaw(E47,""))</f>
        <v>0</v>
      </c>
    </row>
    <row r="48" spans="2:6" x14ac:dyDescent="0.25">
      <c r="B48" s="14"/>
      <c r="C48" s="19"/>
      <c r="D48" s="11">
        <f>MAX(CHAIN_HEIGHT-(ROW() - ROW(Table9[[#Headers],[block-id]])),-1)</f>
        <v>-1</v>
      </c>
      <c r="E48" s="30" t="b">
        <f t="shared" ref="E48:E79" si="1">IF( D48 &gt; -1, HYPERLINK($E$7 &amp; D48))</f>
        <v>0</v>
      </c>
      <c r="F48" t="b">
        <f>IF(D48&gt;-1, GetHypeRaw(E48,""))</f>
        <v>0</v>
      </c>
    </row>
    <row r="49" spans="2:6" x14ac:dyDescent="0.25">
      <c r="B49" s="14"/>
      <c r="C49" s="19"/>
      <c r="D49" s="11">
        <f>MAX(CHAIN_HEIGHT-(ROW() - ROW(Table9[[#Headers],[block-id]])),-1)</f>
        <v>-1</v>
      </c>
      <c r="E49" s="30" t="b">
        <f t="shared" si="1"/>
        <v>0</v>
      </c>
      <c r="F49" t="b">
        <f>IF(D49&gt;-1, GetHypeRaw(E49,""))</f>
        <v>0</v>
      </c>
    </row>
    <row r="50" spans="2:6" x14ac:dyDescent="0.25">
      <c r="B50" s="14"/>
      <c r="C50" s="19"/>
      <c r="D50" s="11">
        <f>MAX(CHAIN_HEIGHT-(ROW() - ROW(Table9[[#Headers],[block-id]])),-1)</f>
        <v>-1</v>
      </c>
      <c r="E50" s="30" t="b">
        <f t="shared" si="1"/>
        <v>0</v>
      </c>
      <c r="F50" t="b">
        <f>IF(D50&gt;-1, GetHypeRaw(E50,""))</f>
        <v>0</v>
      </c>
    </row>
    <row r="51" spans="2:6" x14ac:dyDescent="0.25">
      <c r="B51" s="14"/>
      <c r="C51" s="19"/>
      <c r="D51" s="11">
        <f>MAX(CHAIN_HEIGHT-(ROW() - ROW(Table9[[#Headers],[block-id]])),-1)</f>
        <v>-1</v>
      </c>
      <c r="E51" s="30" t="b">
        <f t="shared" si="1"/>
        <v>0</v>
      </c>
      <c r="F51" t="b">
        <f>IF(D51&gt;-1, GetHypeRaw(E51,""))</f>
        <v>0</v>
      </c>
    </row>
    <row r="52" spans="2:6" x14ac:dyDescent="0.25">
      <c r="B52" s="14"/>
      <c r="C52" s="19"/>
      <c r="D52" s="11">
        <f>MAX(CHAIN_HEIGHT-(ROW() - ROW(Table9[[#Headers],[block-id]])),-1)</f>
        <v>-1</v>
      </c>
      <c r="E52" s="30" t="b">
        <f t="shared" si="1"/>
        <v>0</v>
      </c>
      <c r="F52" t="b">
        <f>IF(D52&gt;-1, GetHypeRaw(E52,""))</f>
        <v>0</v>
      </c>
    </row>
    <row r="53" spans="2:6" x14ac:dyDescent="0.25">
      <c r="B53" s="14"/>
      <c r="C53" s="19"/>
      <c r="D53" s="11">
        <f>MAX(CHAIN_HEIGHT-(ROW() - ROW(Table9[[#Headers],[block-id]])),-1)</f>
        <v>-1</v>
      </c>
      <c r="E53" s="30" t="b">
        <f t="shared" si="1"/>
        <v>0</v>
      </c>
      <c r="F53" t="b">
        <f>IF(D53&gt;-1, GetHypeRaw(E53,""))</f>
        <v>0</v>
      </c>
    </row>
    <row r="54" spans="2:6" x14ac:dyDescent="0.25">
      <c r="B54" s="14"/>
      <c r="C54" s="19"/>
      <c r="D54" s="11">
        <f>MAX(CHAIN_HEIGHT-(ROW() - ROW(Table9[[#Headers],[block-id]])),-1)</f>
        <v>-1</v>
      </c>
      <c r="E54" s="30" t="b">
        <f t="shared" si="1"/>
        <v>0</v>
      </c>
      <c r="F54" t="b">
        <f>IF(D54&gt;-1, GetHypeRaw(E54,""))</f>
        <v>0</v>
      </c>
    </row>
    <row r="55" spans="2:6" x14ac:dyDescent="0.25">
      <c r="B55" s="14"/>
      <c r="C55" s="19"/>
      <c r="D55" s="11">
        <f>MAX(CHAIN_HEIGHT-(ROW() - ROW(Table9[[#Headers],[block-id]])),-1)</f>
        <v>-1</v>
      </c>
      <c r="E55" s="30" t="b">
        <f t="shared" si="1"/>
        <v>0</v>
      </c>
      <c r="F55" t="b">
        <f>IF(D55&gt;-1, GetHypeRaw(E55,""))</f>
        <v>0</v>
      </c>
    </row>
    <row r="56" spans="2:6" x14ac:dyDescent="0.25">
      <c r="B56" s="14"/>
      <c r="C56" s="19"/>
      <c r="D56" s="11">
        <f>MAX(CHAIN_HEIGHT-(ROW() - ROW(Table9[[#Headers],[block-id]])),-1)</f>
        <v>-1</v>
      </c>
      <c r="E56" s="30" t="b">
        <f t="shared" si="1"/>
        <v>0</v>
      </c>
      <c r="F56" t="b">
        <f>IF(D56&gt;-1, GetHypeRaw(E56,""))</f>
        <v>0</v>
      </c>
    </row>
    <row r="57" spans="2:6" x14ac:dyDescent="0.25">
      <c r="B57" s="14"/>
      <c r="C57" s="19"/>
      <c r="D57" s="11">
        <f>MAX(CHAIN_HEIGHT-(ROW() - ROW(Table9[[#Headers],[block-id]])),-1)</f>
        <v>-1</v>
      </c>
      <c r="E57" s="30" t="b">
        <f t="shared" si="1"/>
        <v>0</v>
      </c>
      <c r="F57" t="b">
        <f>IF(D57&gt;-1, GetHypeRaw(E57,""))</f>
        <v>0</v>
      </c>
    </row>
    <row r="58" spans="2:6" x14ac:dyDescent="0.25">
      <c r="B58" s="14"/>
      <c r="C58" s="19"/>
      <c r="D58" s="11">
        <f>MAX(CHAIN_HEIGHT-(ROW() - ROW(Table9[[#Headers],[block-id]])),-1)</f>
        <v>-1</v>
      </c>
      <c r="E58" s="30" t="b">
        <f t="shared" si="1"/>
        <v>0</v>
      </c>
      <c r="F58" t="b">
        <f>IF(D58&gt;-1, GetHypeRaw(E58,""))</f>
        <v>0</v>
      </c>
    </row>
    <row r="59" spans="2:6" x14ac:dyDescent="0.25">
      <c r="B59" s="14"/>
      <c r="C59" s="19"/>
      <c r="D59" s="11">
        <f>MAX(CHAIN_HEIGHT-(ROW() - ROW(Table9[[#Headers],[block-id]])),-1)</f>
        <v>-1</v>
      </c>
      <c r="E59" s="30" t="b">
        <f t="shared" si="1"/>
        <v>0</v>
      </c>
      <c r="F59" t="b">
        <f>IF(D59&gt;-1, GetHypeRaw(E59,""))</f>
        <v>0</v>
      </c>
    </row>
    <row r="60" spans="2:6" x14ac:dyDescent="0.25">
      <c r="B60" s="14"/>
      <c r="C60" s="19"/>
      <c r="D60" s="11">
        <f>MAX(CHAIN_HEIGHT-(ROW() - ROW(Table9[[#Headers],[block-id]])),-1)</f>
        <v>-1</v>
      </c>
      <c r="E60" s="30" t="b">
        <f t="shared" si="1"/>
        <v>0</v>
      </c>
      <c r="F60" t="b">
        <f>IF(D60&gt;-1, GetHypeRaw(E60,""))</f>
        <v>0</v>
      </c>
    </row>
    <row r="61" spans="2:6" x14ac:dyDescent="0.25">
      <c r="B61" s="14"/>
      <c r="C61" s="19"/>
      <c r="D61" s="11">
        <f>MAX(CHAIN_HEIGHT-(ROW() - ROW(Table9[[#Headers],[block-id]])),-1)</f>
        <v>-1</v>
      </c>
      <c r="E61" s="30" t="b">
        <f t="shared" si="1"/>
        <v>0</v>
      </c>
      <c r="F61" t="b">
        <f>IF(D61&gt;-1, GetHypeRaw(E61,""))</f>
        <v>0</v>
      </c>
    </row>
    <row r="62" spans="2:6" x14ac:dyDescent="0.25">
      <c r="B62" s="14"/>
      <c r="C62" s="19"/>
      <c r="D62" s="11">
        <f>MAX(CHAIN_HEIGHT-(ROW() - ROW(Table9[[#Headers],[block-id]])),-1)</f>
        <v>-1</v>
      </c>
      <c r="E62" s="30" t="b">
        <f t="shared" si="1"/>
        <v>0</v>
      </c>
      <c r="F62" t="b">
        <f>IF(D62&gt;-1, GetHypeRaw(E62,""))</f>
        <v>0</v>
      </c>
    </row>
    <row r="63" spans="2:6" x14ac:dyDescent="0.25">
      <c r="B63" s="14"/>
      <c r="C63" s="19"/>
      <c r="D63" s="11">
        <f>MAX(CHAIN_HEIGHT-(ROW() - ROW(Table9[[#Headers],[block-id]])),-1)</f>
        <v>-1</v>
      </c>
      <c r="E63" s="30" t="b">
        <f t="shared" si="1"/>
        <v>0</v>
      </c>
      <c r="F63" t="b">
        <f>IF(D63&gt;-1, GetHypeRaw(E63,""))</f>
        <v>0</v>
      </c>
    </row>
    <row r="64" spans="2:6" x14ac:dyDescent="0.25">
      <c r="B64" s="14"/>
      <c r="C64" s="19"/>
      <c r="D64" s="11">
        <f>MAX(CHAIN_HEIGHT-(ROW() - ROW(Table9[[#Headers],[block-id]])),-1)</f>
        <v>-1</v>
      </c>
      <c r="E64" s="30" t="b">
        <f t="shared" si="1"/>
        <v>0</v>
      </c>
      <c r="F64" t="b">
        <f>IF(D64&gt;-1, GetHypeRaw(E64,""))</f>
        <v>0</v>
      </c>
    </row>
    <row r="65" spans="2:6" x14ac:dyDescent="0.25">
      <c r="B65" s="14"/>
      <c r="C65" s="19"/>
      <c r="D65" s="11">
        <f>MAX(CHAIN_HEIGHT-(ROW() - ROW(Table9[[#Headers],[block-id]])),-1)</f>
        <v>-1</v>
      </c>
      <c r="E65" s="30" t="b">
        <f t="shared" si="1"/>
        <v>0</v>
      </c>
      <c r="F65" t="b">
        <f>IF(D65&gt;-1, GetHypeRaw(E65,""))</f>
        <v>0</v>
      </c>
    </row>
    <row r="66" spans="2:6" x14ac:dyDescent="0.25">
      <c r="B66" s="14"/>
      <c r="C66" s="19"/>
      <c r="D66" s="11">
        <f>MAX(CHAIN_HEIGHT-(ROW() - ROW(Table9[[#Headers],[block-id]])),-1)</f>
        <v>-1</v>
      </c>
      <c r="E66" s="30" t="b">
        <f t="shared" si="1"/>
        <v>0</v>
      </c>
      <c r="F66" t="b">
        <f>IF(D66&gt;-1, GetHypeRaw(E66,""))</f>
        <v>0</v>
      </c>
    </row>
    <row r="67" spans="2:6" x14ac:dyDescent="0.25">
      <c r="B67" s="14"/>
      <c r="C67" s="19"/>
      <c r="D67" s="11">
        <f>MAX(CHAIN_HEIGHT-(ROW() - ROW(Table9[[#Headers],[block-id]])),-1)</f>
        <v>-1</v>
      </c>
      <c r="E67" s="30" t="b">
        <f t="shared" si="1"/>
        <v>0</v>
      </c>
      <c r="F67" t="b">
        <f>IF(D67&gt;-1, GetHypeRaw(E67,""))</f>
        <v>0</v>
      </c>
    </row>
    <row r="68" spans="2:6" x14ac:dyDescent="0.25">
      <c r="B68" s="14"/>
      <c r="C68" s="19"/>
      <c r="D68" s="11">
        <f>MAX(CHAIN_HEIGHT-(ROW() - ROW(Table9[[#Headers],[block-id]])),-1)</f>
        <v>-1</v>
      </c>
      <c r="E68" s="30" t="b">
        <f t="shared" si="1"/>
        <v>0</v>
      </c>
      <c r="F68" t="b">
        <f>IF(D68&gt;-1, GetHypeRaw(E68,""))</f>
        <v>0</v>
      </c>
    </row>
    <row r="69" spans="2:6" x14ac:dyDescent="0.25">
      <c r="B69" s="14"/>
      <c r="C69" s="19"/>
      <c r="D69" s="11">
        <f>MAX(CHAIN_HEIGHT-(ROW() - ROW(Table9[[#Headers],[block-id]])),-1)</f>
        <v>-1</v>
      </c>
      <c r="E69" s="30" t="b">
        <f t="shared" si="1"/>
        <v>0</v>
      </c>
      <c r="F69" t="b">
        <f>IF(D69&gt;-1, GetHypeRaw(E69,""))</f>
        <v>0</v>
      </c>
    </row>
    <row r="70" spans="2:6" x14ac:dyDescent="0.25">
      <c r="B70" s="14"/>
      <c r="C70" s="19"/>
      <c r="D70" s="11">
        <f>MAX(CHAIN_HEIGHT-(ROW() - ROW(Table9[[#Headers],[block-id]])),-1)</f>
        <v>-1</v>
      </c>
      <c r="E70" s="30" t="b">
        <f t="shared" si="1"/>
        <v>0</v>
      </c>
      <c r="F70" t="b">
        <f>IF(D70&gt;-1, GetHypeRaw(E70,""))</f>
        <v>0</v>
      </c>
    </row>
    <row r="71" spans="2:6" x14ac:dyDescent="0.25">
      <c r="B71" s="14"/>
      <c r="C71" s="19"/>
      <c r="D71" s="11">
        <f>MAX(CHAIN_HEIGHT-(ROW() - ROW(Table9[[#Headers],[block-id]])),-1)</f>
        <v>-1</v>
      </c>
      <c r="E71" s="30" t="b">
        <f t="shared" si="1"/>
        <v>0</v>
      </c>
      <c r="F71" t="b">
        <f>IF(D71&gt;-1, GetHypeRaw(E71,""))</f>
        <v>0</v>
      </c>
    </row>
    <row r="72" spans="2:6" x14ac:dyDescent="0.25">
      <c r="B72" s="14"/>
      <c r="C72" s="19"/>
      <c r="D72" s="11">
        <f>MAX(CHAIN_HEIGHT-(ROW() - ROW(Table9[[#Headers],[block-id]])),-1)</f>
        <v>-1</v>
      </c>
      <c r="E72" s="30" t="b">
        <f t="shared" si="1"/>
        <v>0</v>
      </c>
      <c r="F72" t="b">
        <f>IF(D72&gt;-1, GetHypeRaw(E72,""))</f>
        <v>0</v>
      </c>
    </row>
    <row r="73" spans="2:6" x14ac:dyDescent="0.25">
      <c r="B73" s="14"/>
      <c r="C73" s="19"/>
      <c r="D73" s="11">
        <f>MAX(CHAIN_HEIGHT-(ROW() - ROW(Table9[[#Headers],[block-id]])),-1)</f>
        <v>-1</v>
      </c>
      <c r="E73" s="30" t="b">
        <f t="shared" si="1"/>
        <v>0</v>
      </c>
      <c r="F73" t="b">
        <f>IF(D73&gt;-1, GetHypeRaw(E73,""))</f>
        <v>0</v>
      </c>
    </row>
    <row r="74" spans="2:6" x14ac:dyDescent="0.25">
      <c r="B74" s="14"/>
      <c r="C74" s="19"/>
      <c r="D74" s="11">
        <f>MAX(CHAIN_HEIGHT-(ROW() - ROW(Table9[[#Headers],[block-id]])),-1)</f>
        <v>-1</v>
      </c>
      <c r="E74" s="30" t="b">
        <f t="shared" si="1"/>
        <v>0</v>
      </c>
      <c r="F74" t="b">
        <f>IF(D74&gt;-1, GetHypeRaw(E74,""))</f>
        <v>0</v>
      </c>
    </row>
    <row r="75" spans="2:6" x14ac:dyDescent="0.25">
      <c r="B75" s="14"/>
      <c r="C75" s="19"/>
      <c r="D75" s="11">
        <f>MAX(CHAIN_HEIGHT-(ROW() - ROW(Table9[[#Headers],[block-id]])),-1)</f>
        <v>-1</v>
      </c>
      <c r="E75" s="30" t="b">
        <f t="shared" si="1"/>
        <v>0</v>
      </c>
      <c r="F75" t="b">
        <f>IF(D75&gt;-1, GetHypeRaw(E75,""))</f>
        <v>0</v>
      </c>
    </row>
    <row r="76" spans="2:6" x14ac:dyDescent="0.25">
      <c r="B76" s="14"/>
      <c r="C76" s="19"/>
      <c r="D76" s="11">
        <f>MAX(CHAIN_HEIGHT-(ROW() - ROW(Table9[[#Headers],[block-id]])),-1)</f>
        <v>-1</v>
      </c>
      <c r="E76" s="30" t="b">
        <f t="shared" si="1"/>
        <v>0</v>
      </c>
      <c r="F76" t="b">
        <f>IF(D76&gt;-1, GetHypeRaw(E76,""))</f>
        <v>0</v>
      </c>
    </row>
    <row r="77" spans="2:6" x14ac:dyDescent="0.25">
      <c r="B77" s="14"/>
      <c r="C77" s="19"/>
      <c r="D77" s="11">
        <f>MAX(CHAIN_HEIGHT-(ROW() - ROW(Table9[[#Headers],[block-id]])),-1)</f>
        <v>-1</v>
      </c>
      <c r="E77" s="30" t="b">
        <f t="shared" si="1"/>
        <v>0</v>
      </c>
      <c r="F77" t="b">
        <f>IF(D77&gt;-1, GetHypeRaw(E77,""))</f>
        <v>0</v>
      </c>
    </row>
    <row r="78" spans="2:6" x14ac:dyDescent="0.25">
      <c r="B78" s="14"/>
      <c r="C78" s="19"/>
      <c r="D78" s="11">
        <f>MAX(CHAIN_HEIGHT-(ROW() - ROW(Table9[[#Headers],[block-id]])),-1)</f>
        <v>-1</v>
      </c>
      <c r="E78" s="30" t="b">
        <f t="shared" si="1"/>
        <v>0</v>
      </c>
      <c r="F78" t="b">
        <f>IF(D78&gt;-1, GetHypeRaw(E78,""))</f>
        <v>0</v>
      </c>
    </row>
    <row r="79" spans="2:6" x14ac:dyDescent="0.25">
      <c r="B79" s="14"/>
      <c r="C79" s="19"/>
      <c r="D79" s="11">
        <f>MAX(CHAIN_HEIGHT-(ROW() - ROW(Table9[[#Headers],[block-id]])),-1)</f>
        <v>-1</v>
      </c>
      <c r="E79" s="30" t="b">
        <f t="shared" si="1"/>
        <v>0</v>
      </c>
      <c r="F79" t="b">
        <f>IF(D79&gt;-1, GetHypeRaw(E79,""))</f>
        <v>0</v>
      </c>
    </row>
    <row r="80" spans="2:6" x14ac:dyDescent="0.25">
      <c r="B80" s="14"/>
      <c r="C80" s="19"/>
      <c r="D80" s="11">
        <f>MAX(CHAIN_HEIGHT-(ROW() - ROW(Table9[[#Headers],[block-id]])),-1)</f>
        <v>-1</v>
      </c>
      <c r="E80" s="30" t="b">
        <f t="shared" ref="E80:E111" si="2">IF( D80 &gt; -1, HYPERLINK($E$7 &amp; D80))</f>
        <v>0</v>
      </c>
      <c r="F80" t="b">
        <f>IF(D80&gt;-1, GetHypeRaw(E80,""))</f>
        <v>0</v>
      </c>
    </row>
    <row r="81" spans="2:6" x14ac:dyDescent="0.25">
      <c r="B81" s="14"/>
      <c r="C81" s="19"/>
      <c r="D81" s="11">
        <f>MAX(CHAIN_HEIGHT-(ROW() - ROW(Table9[[#Headers],[block-id]])),-1)</f>
        <v>-1</v>
      </c>
      <c r="E81" s="30" t="b">
        <f t="shared" si="2"/>
        <v>0</v>
      </c>
      <c r="F81" t="b">
        <f>IF(D81&gt;-1, GetHypeRaw(E81,""))</f>
        <v>0</v>
      </c>
    </row>
    <row r="82" spans="2:6" x14ac:dyDescent="0.25">
      <c r="B82" s="14"/>
      <c r="C82" s="19"/>
      <c r="D82" s="11">
        <f>MAX(CHAIN_HEIGHT-(ROW() - ROW(Table9[[#Headers],[block-id]])),-1)</f>
        <v>-1</v>
      </c>
      <c r="E82" s="30" t="b">
        <f t="shared" si="2"/>
        <v>0</v>
      </c>
      <c r="F82" t="b">
        <f>IF(D82&gt;-1, GetHypeRaw(E82,""))</f>
        <v>0</v>
      </c>
    </row>
    <row r="83" spans="2:6" x14ac:dyDescent="0.25">
      <c r="B83" s="14"/>
      <c r="C83" s="19"/>
      <c r="D83" s="11">
        <f>MAX(CHAIN_HEIGHT-(ROW() - ROW(Table9[[#Headers],[block-id]])),-1)</f>
        <v>-1</v>
      </c>
      <c r="E83" s="30" t="b">
        <f t="shared" si="2"/>
        <v>0</v>
      </c>
      <c r="F83" t="b">
        <f>IF(D83&gt;-1, GetHypeRaw(E83,""))</f>
        <v>0</v>
      </c>
    </row>
    <row r="84" spans="2:6" x14ac:dyDescent="0.25">
      <c r="B84" s="14"/>
      <c r="C84" s="19"/>
      <c r="D84" s="11">
        <f>MAX(CHAIN_HEIGHT-(ROW() - ROW(Table9[[#Headers],[block-id]])),-1)</f>
        <v>-1</v>
      </c>
      <c r="E84" s="30" t="b">
        <f t="shared" si="2"/>
        <v>0</v>
      </c>
      <c r="F84" t="b">
        <f>IF(D84&gt;-1, GetHypeRaw(E84,""))</f>
        <v>0</v>
      </c>
    </row>
    <row r="85" spans="2:6" x14ac:dyDescent="0.25">
      <c r="B85" s="14"/>
      <c r="C85" s="19"/>
      <c r="D85" s="11">
        <f>MAX(CHAIN_HEIGHT-(ROW() - ROW(Table9[[#Headers],[block-id]])),-1)</f>
        <v>-1</v>
      </c>
      <c r="E85" s="30" t="b">
        <f t="shared" si="2"/>
        <v>0</v>
      </c>
      <c r="F85" t="b">
        <f>IF(D85&gt;-1, GetHypeRaw(E85,""))</f>
        <v>0</v>
      </c>
    </row>
    <row r="86" spans="2:6" x14ac:dyDescent="0.25">
      <c r="B86" s="14"/>
      <c r="C86" s="19"/>
      <c r="D86" s="11">
        <f>MAX(CHAIN_HEIGHT-(ROW() - ROW(Table9[[#Headers],[block-id]])),-1)</f>
        <v>-1</v>
      </c>
      <c r="E86" s="30" t="b">
        <f t="shared" si="2"/>
        <v>0</v>
      </c>
      <c r="F86" t="b">
        <f>IF(D86&gt;-1, GetHypeRaw(E86,""))</f>
        <v>0</v>
      </c>
    </row>
    <row r="87" spans="2:6" x14ac:dyDescent="0.25">
      <c r="B87" s="14"/>
      <c r="C87" s="19"/>
      <c r="D87" s="11">
        <f>MAX(CHAIN_HEIGHT-(ROW() - ROW(Table9[[#Headers],[block-id]])),-1)</f>
        <v>-1</v>
      </c>
      <c r="E87" s="30" t="b">
        <f t="shared" si="2"/>
        <v>0</v>
      </c>
      <c r="F87" t="b">
        <f>IF(D87&gt;-1, GetHypeRaw(E87,""))</f>
        <v>0</v>
      </c>
    </row>
    <row r="88" spans="2:6" x14ac:dyDescent="0.25">
      <c r="B88" s="14"/>
      <c r="C88" s="19"/>
      <c r="D88" s="11">
        <f>MAX(CHAIN_HEIGHT-(ROW() - ROW(Table9[[#Headers],[block-id]])),-1)</f>
        <v>-1</v>
      </c>
      <c r="E88" s="30" t="b">
        <f t="shared" si="2"/>
        <v>0</v>
      </c>
      <c r="F88" t="b">
        <f>IF(D88&gt;-1, GetHypeRaw(E88,""))</f>
        <v>0</v>
      </c>
    </row>
    <row r="89" spans="2:6" x14ac:dyDescent="0.25">
      <c r="B89" s="14"/>
      <c r="C89" s="19"/>
      <c r="D89" s="11">
        <f>MAX(CHAIN_HEIGHT-(ROW() - ROW(Table9[[#Headers],[block-id]])),-1)</f>
        <v>-1</v>
      </c>
      <c r="E89" s="30" t="b">
        <f t="shared" si="2"/>
        <v>0</v>
      </c>
      <c r="F89" t="b">
        <f>IF(D89&gt;-1, GetHypeRaw(E89,""))</f>
        <v>0</v>
      </c>
    </row>
    <row r="90" spans="2:6" x14ac:dyDescent="0.25">
      <c r="B90" s="14"/>
      <c r="C90" s="19"/>
      <c r="D90" s="11">
        <f>MAX(CHAIN_HEIGHT-(ROW() - ROW(Table9[[#Headers],[block-id]])),-1)</f>
        <v>-1</v>
      </c>
      <c r="E90" s="30" t="b">
        <f t="shared" si="2"/>
        <v>0</v>
      </c>
      <c r="F90" t="b">
        <f>IF(D90&gt;-1, GetHypeRaw(E90,""))</f>
        <v>0</v>
      </c>
    </row>
    <row r="91" spans="2:6" x14ac:dyDescent="0.25">
      <c r="B91" s="14"/>
      <c r="C91" s="19"/>
      <c r="D91" s="11">
        <f>MAX(CHAIN_HEIGHT-(ROW() - ROW(Table9[[#Headers],[block-id]])),-1)</f>
        <v>-1</v>
      </c>
      <c r="E91" s="30" t="b">
        <f t="shared" si="2"/>
        <v>0</v>
      </c>
      <c r="F91" t="b">
        <f>IF(D91&gt;-1, GetHypeRaw(E91,""))</f>
        <v>0</v>
      </c>
    </row>
    <row r="92" spans="2:6" x14ac:dyDescent="0.25">
      <c r="B92" s="14"/>
      <c r="C92" s="19"/>
      <c r="D92" s="11">
        <f>MAX(CHAIN_HEIGHT-(ROW() - ROW(Table9[[#Headers],[block-id]])),-1)</f>
        <v>-1</v>
      </c>
      <c r="E92" s="30" t="b">
        <f t="shared" si="2"/>
        <v>0</v>
      </c>
      <c r="F92" t="b">
        <f>IF(D92&gt;-1, GetHypeRaw(E92,""))</f>
        <v>0</v>
      </c>
    </row>
    <row r="93" spans="2:6" x14ac:dyDescent="0.25">
      <c r="B93" s="14"/>
      <c r="C93" s="19"/>
      <c r="D93" s="11">
        <f>MAX(CHAIN_HEIGHT-(ROW() - ROW(Table9[[#Headers],[block-id]])),-1)</f>
        <v>-1</v>
      </c>
      <c r="E93" s="30" t="b">
        <f t="shared" si="2"/>
        <v>0</v>
      </c>
      <c r="F93" t="b">
        <f>IF(D93&gt;-1, GetHypeRaw(E93,""))</f>
        <v>0</v>
      </c>
    </row>
    <row r="94" spans="2:6" x14ac:dyDescent="0.25">
      <c r="B94" s="14"/>
      <c r="C94" s="19"/>
      <c r="D94" s="11">
        <f>MAX(CHAIN_HEIGHT-(ROW() - ROW(Table9[[#Headers],[block-id]])),-1)</f>
        <v>-1</v>
      </c>
      <c r="E94" s="30" t="b">
        <f t="shared" si="2"/>
        <v>0</v>
      </c>
      <c r="F94" t="b">
        <f>IF(D94&gt;-1, GetHypeRaw(E94,""))</f>
        <v>0</v>
      </c>
    </row>
    <row r="95" spans="2:6" x14ac:dyDescent="0.25">
      <c r="B95" s="14"/>
      <c r="C95" s="19"/>
      <c r="D95" s="11">
        <f>MAX(CHAIN_HEIGHT-(ROW() - ROW(Table9[[#Headers],[block-id]])),-1)</f>
        <v>-1</v>
      </c>
      <c r="E95" s="30" t="b">
        <f t="shared" si="2"/>
        <v>0</v>
      </c>
      <c r="F95" t="b">
        <f>IF(D95&gt;-1, GetHypeRaw(E95,""))</f>
        <v>0</v>
      </c>
    </row>
    <row r="96" spans="2:6" x14ac:dyDescent="0.25">
      <c r="B96" s="14"/>
      <c r="C96" s="19"/>
      <c r="D96" s="11">
        <f>MAX(CHAIN_HEIGHT-(ROW() - ROW(Table9[[#Headers],[block-id]])),-1)</f>
        <v>-1</v>
      </c>
      <c r="E96" s="30" t="b">
        <f t="shared" si="2"/>
        <v>0</v>
      </c>
      <c r="F96" t="b">
        <f>IF(D96&gt;-1, GetHypeRaw(E96,""))</f>
        <v>0</v>
      </c>
    </row>
    <row r="97" spans="2:6" x14ac:dyDescent="0.25">
      <c r="B97" s="14"/>
      <c r="C97" s="19"/>
      <c r="D97" s="11">
        <f>MAX(CHAIN_HEIGHT-(ROW() - ROW(Table9[[#Headers],[block-id]])),-1)</f>
        <v>-1</v>
      </c>
      <c r="E97" s="30" t="b">
        <f t="shared" si="2"/>
        <v>0</v>
      </c>
      <c r="F97" t="b">
        <f>IF(D97&gt;-1, GetHypeRaw(E97,""))</f>
        <v>0</v>
      </c>
    </row>
    <row r="98" spans="2:6" x14ac:dyDescent="0.25">
      <c r="B98" s="14"/>
      <c r="C98" s="19"/>
      <c r="D98" s="11">
        <f>MAX(CHAIN_HEIGHT-(ROW() - ROW(Table9[[#Headers],[block-id]])),-1)</f>
        <v>-1</v>
      </c>
      <c r="E98" s="30" t="b">
        <f t="shared" si="2"/>
        <v>0</v>
      </c>
      <c r="F98" t="b">
        <f>IF(D98&gt;-1, GetHypeRaw(E98,""))</f>
        <v>0</v>
      </c>
    </row>
    <row r="99" spans="2:6" x14ac:dyDescent="0.25">
      <c r="B99" s="14"/>
      <c r="C99" s="19"/>
      <c r="D99" s="11">
        <f>MAX(CHAIN_HEIGHT-(ROW() - ROW(Table9[[#Headers],[block-id]])),-1)</f>
        <v>-1</v>
      </c>
      <c r="E99" s="30" t="b">
        <f t="shared" si="2"/>
        <v>0</v>
      </c>
      <c r="F99" t="b">
        <f>IF(D99&gt;-1, GetHypeRaw(E99,""))</f>
        <v>0</v>
      </c>
    </row>
    <row r="100" spans="2:6" x14ac:dyDescent="0.25">
      <c r="B100" s="14"/>
      <c r="C100" s="19"/>
      <c r="D100" s="11">
        <f>MAX(CHAIN_HEIGHT-(ROW() - ROW(Table9[[#Headers],[block-id]])),-1)</f>
        <v>-1</v>
      </c>
      <c r="E100" s="30" t="b">
        <f t="shared" si="2"/>
        <v>0</v>
      </c>
      <c r="F100" t="b">
        <f>IF(D100&gt;-1, GetHypeRaw(E100,""))</f>
        <v>0</v>
      </c>
    </row>
    <row r="101" spans="2:6" x14ac:dyDescent="0.25">
      <c r="B101" s="14"/>
      <c r="C101" s="19"/>
      <c r="D101" s="11">
        <f>MAX(CHAIN_HEIGHT-(ROW() - ROW(Table9[[#Headers],[block-id]])),-1)</f>
        <v>-1</v>
      </c>
      <c r="E101" s="30" t="b">
        <f t="shared" si="2"/>
        <v>0</v>
      </c>
      <c r="F101" t="b">
        <f>IF(D101&gt;-1, GetHypeRaw(E101,""))</f>
        <v>0</v>
      </c>
    </row>
    <row r="102" spans="2:6" x14ac:dyDescent="0.25">
      <c r="B102" s="14"/>
      <c r="C102" s="19"/>
      <c r="D102" s="11">
        <f>MAX(CHAIN_HEIGHT-(ROW() - ROW(Table9[[#Headers],[block-id]])),-1)</f>
        <v>-1</v>
      </c>
      <c r="E102" s="30" t="b">
        <f t="shared" si="2"/>
        <v>0</v>
      </c>
      <c r="F102" t="b">
        <f>IF(D102&gt;-1, GetHypeRaw(E102,""))</f>
        <v>0</v>
      </c>
    </row>
    <row r="103" spans="2:6" x14ac:dyDescent="0.25">
      <c r="B103" s="14"/>
      <c r="C103" s="19"/>
      <c r="D103" s="11">
        <f>MAX(CHAIN_HEIGHT-(ROW() - ROW(Table9[[#Headers],[block-id]])),-1)</f>
        <v>-1</v>
      </c>
      <c r="E103" s="30" t="b">
        <f t="shared" si="2"/>
        <v>0</v>
      </c>
      <c r="F103" t="b">
        <f>IF(D103&gt;-1, GetHypeRaw(E103,""))</f>
        <v>0</v>
      </c>
    </row>
    <row r="104" spans="2:6" x14ac:dyDescent="0.25">
      <c r="B104" s="14"/>
      <c r="C104" s="19"/>
      <c r="D104" s="11">
        <f>MAX(CHAIN_HEIGHT-(ROW() - ROW(Table9[[#Headers],[block-id]])),-1)</f>
        <v>-1</v>
      </c>
      <c r="E104" s="30" t="b">
        <f t="shared" si="2"/>
        <v>0</v>
      </c>
      <c r="F104" t="b">
        <f>IF(D104&gt;-1, GetHypeRaw(E104,""))</f>
        <v>0</v>
      </c>
    </row>
    <row r="105" spans="2:6" x14ac:dyDescent="0.25">
      <c r="B105" s="14"/>
      <c r="C105" s="19"/>
      <c r="D105" s="11">
        <f>MAX(CHAIN_HEIGHT-(ROW() - ROW(Table9[[#Headers],[block-id]])),-1)</f>
        <v>-1</v>
      </c>
      <c r="E105" s="30" t="b">
        <f t="shared" si="2"/>
        <v>0</v>
      </c>
      <c r="F105" t="b">
        <f>IF(D105&gt;-1, GetHypeRaw(E105,""))</f>
        <v>0</v>
      </c>
    </row>
    <row r="106" spans="2:6" x14ac:dyDescent="0.25">
      <c r="B106" s="14"/>
      <c r="C106" s="19"/>
      <c r="D106" s="11">
        <f>MAX(CHAIN_HEIGHT-(ROW() - ROW(Table9[[#Headers],[block-id]])),-1)</f>
        <v>-1</v>
      </c>
      <c r="E106" s="30" t="b">
        <f t="shared" si="2"/>
        <v>0</v>
      </c>
      <c r="F106" t="b">
        <f>IF(D106&gt;-1, GetHypeRaw(E106,""))</f>
        <v>0</v>
      </c>
    </row>
    <row r="107" spans="2:6" x14ac:dyDescent="0.25">
      <c r="B107" s="14"/>
      <c r="C107" s="19"/>
      <c r="D107" s="11">
        <f>MAX(CHAIN_HEIGHT-(ROW() - ROW(Table9[[#Headers],[block-id]])),-1)</f>
        <v>-1</v>
      </c>
      <c r="E107" s="30" t="b">
        <f t="shared" si="2"/>
        <v>0</v>
      </c>
      <c r="F107" t="b">
        <f>IF(D107&gt;-1, GetHypeRaw(E107,""))</f>
        <v>0</v>
      </c>
    </row>
    <row r="108" spans="2:6" x14ac:dyDescent="0.25">
      <c r="B108" s="14"/>
      <c r="C108" s="19"/>
      <c r="D108" s="11">
        <f>MAX(CHAIN_HEIGHT-(ROW() - ROW(Table9[[#Headers],[block-id]])),-1)</f>
        <v>-1</v>
      </c>
      <c r="E108" s="30" t="b">
        <f t="shared" si="2"/>
        <v>0</v>
      </c>
      <c r="F108" t="b">
        <f>IF(D108&gt;-1, GetHypeRaw(E108,""))</f>
        <v>0</v>
      </c>
    </row>
    <row r="109" spans="2:6" x14ac:dyDescent="0.25">
      <c r="B109" s="14"/>
      <c r="C109" s="19"/>
      <c r="D109" s="11">
        <f>MAX(CHAIN_HEIGHT-(ROW() - ROW(Table9[[#Headers],[block-id]])),-1)</f>
        <v>-1</v>
      </c>
      <c r="E109" s="30" t="b">
        <f t="shared" si="2"/>
        <v>0</v>
      </c>
      <c r="F109" t="b">
        <f>IF(D109&gt;-1, GetHypeRaw(E109,""))</f>
        <v>0</v>
      </c>
    </row>
    <row r="110" spans="2:6" x14ac:dyDescent="0.25">
      <c r="B110" s="14"/>
      <c r="C110" s="19"/>
      <c r="D110" s="11">
        <f>MAX(CHAIN_HEIGHT-(ROW() - ROW(Table9[[#Headers],[block-id]])),-1)</f>
        <v>-1</v>
      </c>
      <c r="E110" s="30" t="b">
        <f t="shared" si="2"/>
        <v>0</v>
      </c>
      <c r="F110" t="b">
        <f>IF(D110&gt;-1, GetHypeRaw(E110,""))</f>
        <v>0</v>
      </c>
    </row>
    <row r="111" spans="2:6" x14ac:dyDescent="0.25">
      <c r="B111" s="14"/>
      <c r="C111" s="19"/>
      <c r="D111" s="11">
        <f>MAX(CHAIN_HEIGHT-(ROW() - ROW(Table9[[#Headers],[block-id]])),-1)</f>
        <v>-1</v>
      </c>
      <c r="E111" s="30" t="b">
        <f t="shared" si="2"/>
        <v>0</v>
      </c>
      <c r="F111" t="b">
        <f>IF(D111&gt;-1, GetHypeRaw(E111,""))</f>
        <v>0</v>
      </c>
    </row>
    <row r="112" spans="2:6" x14ac:dyDescent="0.25">
      <c r="B112" s="14"/>
      <c r="C112" s="19"/>
      <c r="D112" s="11">
        <f>MAX(CHAIN_HEIGHT-(ROW() - ROW(Table9[[#Headers],[block-id]])),-1)</f>
        <v>-1</v>
      </c>
      <c r="E112" s="30" t="b">
        <f t="shared" ref="E112:E143" si="3">IF( D112 &gt; -1, HYPERLINK($E$7 &amp; D112))</f>
        <v>0</v>
      </c>
      <c r="F112" t="b">
        <f>IF(D112&gt;-1, GetHypeRaw(E112,""))</f>
        <v>0</v>
      </c>
    </row>
    <row r="113" spans="2:6" x14ac:dyDescent="0.25">
      <c r="B113" s="14"/>
      <c r="C113" s="19"/>
      <c r="D113" s="11">
        <f>MAX(CHAIN_HEIGHT-(ROW() - ROW(Table9[[#Headers],[block-id]])),-1)</f>
        <v>-1</v>
      </c>
      <c r="E113" s="30" t="b">
        <f t="shared" si="3"/>
        <v>0</v>
      </c>
      <c r="F113" t="b">
        <f>IF(D113&gt;-1, GetHypeRaw(E113,""))</f>
        <v>0</v>
      </c>
    </row>
    <row r="114" spans="2:6" x14ac:dyDescent="0.25">
      <c r="B114" s="14"/>
      <c r="C114" s="19"/>
      <c r="D114" s="11">
        <f>MAX(CHAIN_HEIGHT-(ROW() - ROW(Table9[[#Headers],[block-id]])),-1)</f>
        <v>-1</v>
      </c>
      <c r="E114" s="30" t="b">
        <f t="shared" si="3"/>
        <v>0</v>
      </c>
      <c r="F114" t="b">
        <f>IF(D114&gt;-1, GetHypeRaw(E114,""))</f>
        <v>0</v>
      </c>
    </row>
    <row r="115" spans="2:6" x14ac:dyDescent="0.25">
      <c r="B115" s="14"/>
      <c r="C115" s="19"/>
      <c r="D115" s="11">
        <f>MAX(CHAIN_HEIGHT-(ROW() - ROW(Table9[[#Headers],[block-id]])),-1)</f>
        <v>-1</v>
      </c>
      <c r="E115" s="30" t="b">
        <f t="shared" si="3"/>
        <v>0</v>
      </c>
      <c r="F115" t="b">
        <f>IF(D115&gt;-1, GetHypeRaw(E115,""))</f>
        <v>0</v>
      </c>
    </row>
    <row r="116" spans="2:6" x14ac:dyDescent="0.25">
      <c r="B116" s="14"/>
      <c r="C116" s="19"/>
      <c r="D116" s="11">
        <f>MAX(CHAIN_HEIGHT-(ROW() - ROW(Table9[[#Headers],[block-id]])),-1)</f>
        <v>-1</v>
      </c>
      <c r="E116" s="30" t="b">
        <f t="shared" si="3"/>
        <v>0</v>
      </c>
      <c r="F116" t="b">
        <f>IF(D116&gt;-1, GetHypeRaw(E116,""))</f>
        <v>0</v>
      </c>
    </row>
    <row r="117" spans="2:6" x14ac:dyDescent="0.25">
      <c r="B117" s="14"/>
      <c r="C117" s="19"/>
      <c r="D117" s="11">
        <f>MAX(CHAIN_HEIGHT-(ROW() - ROW(Table9[[#Headers],[block-id]])),-1)</f>
        <v>-1</v>
      </c>
      <c r="E117" s="30" t="b">
        <f t="shared" si="3"/>
        <v>0</v>
      </c>
      <c r="F117" t="b">
        <f>IF(D117&gt;-1, GetHypeRaw(E117,""))</f>
        <v>0</v>
      </c>
    </row>
    <row r="118" spans="2:6" x14ac:dyDescent="0.25">
      <c r="B118" s="14"/>
      <c r="C118" s="19"/>
      <c r="D118" s="11">
        <f>MAX(CHAIN_HEIGHT-(ROW() - ROW(Table9[[#Headers],[block-id]])),-1)</f>
        <v>-1</v>
      </c>
      <c r="E118" s="30" t="b">
        <f t="shared" si="3"/>
        <v>0</v>
      </c>
      <c r="F118" t="b">
        <f>IF(D118&gt;-1, GetHypeRaw(E118,""))</f>
        <v>0</v>
      </c>
    </row>
    <row r="119" spans="2:6" x14ac:dyDescent="0.25">
      <c r="B119" s="14"/>
      <c r="C119" s="19"/>
      <c r="D119" s="11">
        <f>MAX(CHAIN_HEIGHT-(ROW() - ROW(Table9[[#Headers],[block-id]])),-1)</f>
        <v>-1</v>
      </c>
      <c r="E119" s="30" t="b">
        <f t="shared" si="3"/>
        <v>0</v>
      </c>
      <c r="F119" t="b">
        <f>IF(D119&gt;-1, GetHypeRaw(E119,""))</f>
        <v>0</v>
      </c>
    </row>
    <row r="120" spans="2:6" x14ac:dyDescent="0.25">
      <c r="B120" s="14"/>
      <c r="C120" s="19"/>
      <c r="D120" s="11">
        <f>MAX(CHAIN_HEIGHT-(ROW() - ROW(Table9[[#Headers],[block-id]])),-1)</f>
        <v>-1</v>
      </c>
      <c r="E120" s="30" t="b">
        <f t="shared" si="3"/>
        <v>0</v>
      </c>
      <c r="F120" t="b">
        <f>IF(D120&gt;-1, GetHypeRaw(E120,""))</f>
        <v>0</v>
      </c>
    </row>
    <row r="121" spans="2:6" x14ac:dyDescent="0.25">
      <c r="B121" s="14"/>
      <c r="C121" s="19"/>
      <c r="D121" s="11">
        <f>MAX(CHAIN_HEIGHT-(ROW() - ROW(Table9[[#Headers],[block-id]])),-1)</f>
        <v>-1</v>
      </c>
      <c r="E121" s="30" t="b">
        <f t="shared" si="3"/>
        <v>0</v>
      </c>
      <c r="F121" t="b">
        <f>IF(D121&gt;-1, GetHypeRaw(E121,""))</f>
        <v>0</v>
      </c>
    </row>
    <row r="122" spans="2:6" x14ac:dyDescent="0.25">
      <c r="B122" s="14"/>
      <c r="C122" s="19"/>
      <c r="D122" s="11">
        <f>MAX(CHAIN_HEIGHT-(ROW() - ROW(Table9[[#Headers],[block-id]])),-1)</f>
        <v>-1</v>
      </c>
      <c r="E122" s="30" t="b">
        <f t="shared" si="3"/>
        <v>0</v>
      </c>
      <c r="F122" t="b">
        <f>IF(D122&gt;-1, GetHypeRaw(E122,""))</f>
        <v>0</v>
      </c>
    </row>
    <row r="123" spans="2:6" x14ac:dyDescent="0.25">
      <c r="B123" s="14"/>
      <c r="C123" s="19"/>
      <c r="D123" s="11">
        <f>MAX(CHAIN_HEIGHT-(ROW() - ROW(Table9[[#Headers],[block-id]])),-1)</f>
        <v>-1</v>
      </c>
      <c r="E123" s="30" t="b">
        <f t="shared" si="3"/>
        <v>0</v>
      </c>
      <c r="F123" t="b">
        <f>IF(D123&gt;-1, GetHypeRaw(E123,""))</f>
        <v>0</v>
      </c>
    </row>
    <row r="124" spans="2:6" x14ac:dyDescent="0.25">
      <c r="B124" s="14"/>
      <c r="C124" s="19"/>
      <c r="D124" s="11">
        <f>MAX(CHAIN_HEIGHT-(ROW() - ROW(Table9[[#Headers],[block-id]])),-1)</f>
        <v>-1</v>
      </c>
      <c r="E124" s="30" t="b">
        <f t="shared" si="3"/>
        <v>0</v>
      </c>
      <c r="F124" t="b">
        <f>IF(D124&gt;-1, GetHypeRaw(E124,""))</f>
        <v>0</v>
      </c>
    </row>
    <row r="125" spans="2:6" x14ac:dyDescent="0.25">
      <c r="B125" s="14"/>
      <c r="C125" s="19"/>
      <c r="D125" s="11">
        <f>MAX(CHAIN_HEIGHT-(ROW() - ROW(Table9[[#Headers],[block-id]])),-1)</f>
        <v>-1</v>
      </c>
      <c r="E125" s="30" t="b">
        <f t="shared" si="3"/>
        <v>0</v>
      </c>
      <c r="F125" t="b">
        <f>IF(D125&gt;-1, GetHypeRaw(E125,""))</f>
        <v>0</v>
      </c>
    </row>
    <row r="126" spans="2:6" x14ac:dyDescent="0.25">
      <c r="B126" s="14"/>
      <c r="C126" s="19"/>
      <c r="D126" s="11">
        <f>MAX(CHAIN_HEIGHT-(ROW() - ROW(Table9[[#Headers],[block-id]])),-1)</f>
        <v>-1</v>
      </c>
      <c r="E126" s="30" t="b">
        <f t="shared" si="3"/>
        <v>0</v>
      </c>
      <c r="F126" t="b">
        <f>IF(D126&gt;-1, GetHypeRaw(E126,""))</f>
        <v>0</v>
      </c>
    </row>
    <row r="127" spans="2:6" x14ac:dyDescent="0.25">
      <c r="B127" s="14"/>
      <c r="C127" s="19"/>
      <c r="D127" s="11">
        <f>MAX(CHAIN_HEIGHT-(ROW() - ROW(Table9[[#Headers],[block-id]])),-1)</f>
        <v>-1</v>
      </c>
      <c r="E127" s="30" t="b">
        <f t="shared" si="3"/>
        <v>0</v>
      </c>
      <c r="F127" t="b">
        <f>IF(D127&gt;-1, GetHypeRaw(E127,""))</f>
        <v>0</v>
      </c>
    </row>
    <row r="128" spans="2:6" x14ac:dyDescent="0.25">
      <c r="B128" s="14"/>
      <c r="C128" s="19"/>
      <c r="D128" s="11">
        <f>MAX(CHAIN_HEIGHT-(ROW() - ROW(Table9[[#Headers],[block-id]])),-1)</f>
        <v>-1</v>
      </c>
      <c r="E128" s="30" t="b">
        <f t="shared" si="3"/>
        <v>0</v>
      </c>
      <c r="F128" t="b">
        <f>IF(D128&gt;-1, GetHypeRaw(E128,""))</f>
        <v>0</v>
      </c>
    </row>
    <row r="129" spans="2:6" x14ac:dyDescent="0.25">
      <c r="B129" s="14"/>
      <c r="C129" s="19"/>
      <c r="D129" s="11">
        <f>MAX(CHAIN_HEIGHT-(ROW() - ROW(Table9[[#Headers],[block-id]])),-1)</f>
        <v>-1</v>
      </c>
      <c r="E129" s="30" t="b">
        <f t="shared" si="3"/>
        <v>0</v>
      </c>
      <c r="F129" t="b">
        <f>IF(D129&gt;-1, GetHypeRaw(E129,""))</f>
        <v>0</v>
      </c>
    </row>
    <row r="130" spans="2:6" x14ac:dyDescent="0.25">
      <c r="B130" s="14"/>
      <c r="C130" s="19"/>
      <c r="D130" s="11">
        <f>MAX(CHAIN_HEIGHT-(ROW() - ROW(Table9[[#Headers],[block-id]])),-1)</f>
        <v>-1</v>
      </c>
      <c r="E130" s="30" t="b">
        <f t="shared" si="3"/>
        <v>0</v>
      </c>
      <c r="F130" t="b">
        <f>IF(D130&gt;-1, GetHypeRaw(E130,""))</f>
        <v>0</v>
      </c>
    </row>
    <row r="131" spans="2:6" x14ac:dyDescent="0.25">
      <c r="B131" s="14"/>
      <c r="C131" s="19"/>
      <c r="D131" s="11">
        <f>MAX(CHAIN_HEIGHT-(ROW() - ROW(Table9[[#Headers],[block-id]])),-1)</f>
        <v>-1</v>
      </c>
      <c r="E131" s="30" t="b">
        <f t="shared" si="3"/>
        <v>0</v>
      </c>
      <c r="F131" t="b">
        <f>IF(D131&gt;-1, GetHypeRaw(E131,""))</f>
        <v>0</v>
      </c>
    </row>
    <row r="132" spans="2:6" x14ac:dyDescent="0.25">
      <c r="B132" s="14"/>
      <c r="C132" s="19"/>
      <c r="D132" s="11">
        <f>MAX(CHAIN_HEIGHT-(ROW() - ROW(Table9[[#Headers],[block-id]])),-1)</f>
        <v>-1</v>
      </c>
      <c r="E132" s="30" t="b">
        <f t="shared" si="3"/>
        <v>0</v>
      </c>
      <c r="F132" t="b">
        <f>IF(D132&gt;-1, GetHypeRaw(E132,""))</f>
        <v>0</v>
      </c>
    </row>
    <row r="133" spans="2:6" x14ac:dyDescent="0.25">
      <c r="B133" s="14"/>
      <c r="C133" s="19"/>
      <c r="D133" s="11">
        <f>MAX(CHAIN_HEIGHT-(ROW() - ROW(Table9[[#Headers],[block-id]])),-1)</f>
        <v>-1</v>
      </c>
      <c r="E133" s="30" t="b">
        <f t="shared" si="3"/>
        <v>0</v>
      </c>
      <c r="F133" t="b">
        <f>IF(D133&gt;-1, GetHypeRaw(E133,""))</f>
        <v>0</v>
      </c>
    </row>
    <row r="134" spans="2:6" x14ac:dyDescent="0.25">
      <c r="B134" s="14"/>
      <c r="C134" s="19"/>
      <c r="D134" s="11">
        <f>MAX(CHAIN_HEIGHT-(ROW() - ROW(Table9[[#Headers],[block-id]])),-1)</f>
        <v>-1</v>
      </c>
      <c r="E134" s="30" t="b">
        <f t="shared" si="3"/>
        <v>0</v>
      </c>
      <c r="F134" t="b">
        <f>IF(D134&gt;-1, GetHypeRaw(E134,""))</f>
        <v>0</v>
      </c>
    </row>
    <row r="135" spans="2:6" x14ac:dyDescent="0.25">
      <c r="B135" s="14"/>
      <c r="C135" s="19"/>
      <c r="D135" s="11">
        <f>MAX(CHAIN_HEIGHT-(ROW() - ROW(Table9[[#Headers],[block-id]])),-1)</f>
        <v>-1</v>
      </c>
      <c r="E135" s="30" t="b">
        <f t="shared" si="3"/>
        <v>0</v>
      </c>
      <c r="F135" t="b">
        <f>IF(D135&gt;-1, GetHypeRaw(E135,""))</f>
        <v>0</v>
      </c>
    </row>
    <row r="136" spans="2:6" x14ac:dyDescent="0.25">
      <c r="B136" s="14"/>
      <c r="C136" s="19"/>
      <c r="D136" s="11">
        <f>MAX(CHAIN_HEIGHT-(ROW() - ROW(Table9[[#Headers],[block-id]])),-1)</f>
        <v>-1</v>
      </c>
      <c r="E136" s="30" t="b">
        <f t="shared" si="3"/>
        <v>0</v>
      </c>
      <c r="F136" t="b">
        <f>IF(D136&gt;-1, GetHypeRaw(E136,""))</f>
        <v>0</v>
      </c>
    </row>
    <row r="137" spans="2:6" x14ac:dyDescent="0.25">
      <c r="B137" s="14"/>
      <c r="C137" s="19"/>
      <c r="D137" s="11">
        <f>MAX(CHAIN_HEIGHT-(ROW() - ROW(Table9[[#Headers],[block-id]])),-1)</f>
        <v>-1</v>
      </c>
      <c r="E137" s="30" t="b">
        <f t="shared" si="3"/>
        <v>0</v>
      </c>
      <c r="F137" t="b">
        <f>IF(D137&gt;-1, GetHypeRaw(E137,""))</f>
        <v>0</v>
      </c>
    </row>
    <row r="138" spans="2:6" x14ac:dyDescent="0.25">
      <c r="B138" s="14"/>
      <c r="C138" s="19"/>
      <c r="D138" s="11">
        <f>MAX(CHAIN_HEIGHT-(ROW() - ROW(Table9[[#Headers],[block-id]])),-1)</f>
        <v>-1</v>
      </c>
      <c r="E138" s="30" t="b">
        <f t="shared" si="3"/>
        <v>0</v>
      </c>
      <c r="F138" t="b">
        <f>IF(D138&gt;-1, GetHypeRaw(E138,""))</f>
        <v>0</v>
      </c>
    </row>
    <row r="139" spans="2:6" x14ac:dyDescent="0.25">
      <c r="B139" s="14"/>
      <c r="C139" s="19"/>
      <c r="D139" s="11">
        <f>MAX(CHAIN_HEIGHT-(ROW() - ROW(Table9[[#Headers],[block-id]])),-1)</f>
        <v>-1</v>
      </c>
      <c r="E139" s="30" t="b">
        <f t="shared" si="3"/>
        <v>0</v>
      </c>
      <c r="F139" t="b">
        <f>IF(D139&gt;-1, GetHypeRaw(E139,""))</f>
        <v>0</v>
      </c>
    </row>
    <row r="140" spans="2:6" x14ac:dyDescent="0.25">
      <c r="B140" s="14"/>
      <c r="C140" s="19"/>
      <c r="D140" s="11">
        <f>MAX(CHAIN_HEIGHT-(ROW() - ROW(Table9[[#Headers],[block-id]])),-1)</f>
        <v>-1</v>
      </c>
      <c r="E140" s="30" t="b">
        <f t="shared" si="3"/>
        <v>0</v>
      </c>
      <c r="F140" t="b">
        <f>IF(D140&gt;-1, GetHypeRaw(E140,""))</f>
        <v>0</v>
      </c>
    </row>
    <row r="141" spans="2:6" x14ac:dyDescent="0.25">
      <c r="B141" s="14"/>
      <c r="C141" s="19"/>
      <c r="D141" s="11">
        <f>MAX(CHAIN_HEIGHT-(ROW() - ROW(Table9[[#Headers],[block-id]])),-1)</f>
        <v>-1</v>
      </c>
      <c r="E141" s="30" t="b">
        <f t="shared" si="3"/>
        <v>0</v>
      </c>
      <c r="F141" t="b">
        <f>IF(D141&gt;-1, GetHypeRaw(E141,""))</f>
        <v>0</v>
      </c>
    </row>
    <row r="142" spans="2:6" x14ac:dyDescent="0.25">
      <c r="B142" s="14"/>
      <c r="C142" s="19"/>
      <c r="D142" s="11">
        <f>MAX(CHAIN_HEIGHT-(ROW() - ROW(Table9[[#Headers],[block-id]])),-1)</f>
        <v>-1</v>
      </c>
      <c r="E142" s="30" t="b">
        <f t="shared" si="3"/>
        <v>0</v>
      </c>
      <c r="F142" t="b">
        <f>IF(D142&gt;-1, GetHypeRaw(E142,""))</f>
        <v>0</v>
      </c>
    </row>
    <row r="143" spans="2:6" x14ac:dyDescent="0.25">
      <c r="B143" s="14"/>
      <c r="C143" s="19"/>
      <c r="D143" s="11">
        <f>MAX(CHAIN_HEIGHT-(ROW() - ROW(Table9[[#Headers],[block-id]])),-1)</f>
        <v>-1</v>
      </c>
      <c r="E143" s="30" t="b">
        <f t="shared" si="3"/>
        <v>0</v>
      </c>
      <c r="F143" t="b">
        <f>IF(D143&gt;-1, GetHypeRaw(E143,""))</f>
        <v>0</v>
      </c>
    </row>
    <row r="144" spans="2:6" x14ac:dyDescent="0.25">
      <c r="B144" s="14"/>
      <c r="C144" s="19"/>
      <c r="D144" s="11">
        <f>MAX(CHAIN_HEIGHT-(ROW() - ROW(Table9[[#Headers],[block-id]])),-1)</f>
        <v>-1</v>
      </c>
      <c r="E144" s="30" t="b">
        <f t="shared" ref="E144:E151" si="4">IF( D144 &gt; -1, HYPERLINK($E$7 &amp; D144))</f>
        <v>0</v>
      </c>
      <c r="F144" t="b">
        <f>IF(D144&gt;-1, GetHypeRaw(E144,""))</f>
        <v>0</v>
      </c>
    </row>
    <row r="145" spans="2:6" x14ac:dyDescent="0.25">
      <c r="B145" s="14"/>
      <c r="C145" s="19"/>
      <c r="D145" s="11">
        <f>MAX(CHAIN_HEIGHT-(ROW() - ROW(Table9[[#Headers],[block-id]])),-1)</f>
        <v>-1</v>
      </c>
      <c r="E145" s="30" t="b">
        <f t="shared" si="4"/>
        <v>0</v>
      </c>
      <c r="F145" t="b">
        <f>IF(D145&gt;-1, GetHypeRaw(E145,""))</f>
        <v>0</v>
      </c>
    </row>
    <row r="146" spans="2:6" x14ac:dyDescent="0.25">
      <c r="B146" s="14"/>
      <c r="C146" s="19"/>
      <c r="D146" s="11">
        <f>MAX(CHAIN_HEIGHT-(ROW() - ROW(Table9[[#Headers],[block-id]])),-1)</f>
        <v>-1</v>
      </c>
      <c r="E146" s="30" t="b">
        <f t="shared" si="4"/>
        <v>0</v>
      </c>
      <c r="F146" t="b">
        <f>IF(D146&gt;-1, GetHypeRaw(E146,""))</f>
        <v>0</v>
      </c>
    </row>
    <row r="147" spans="2:6" x14ac:dyDescent="0.25">
      <c r="B147" s="14"/>
      <c r="C147" s="19"/>
      <c r="D147" s="11">
        <f>MAX(CHAIN_HEIGHT-(ROW() - ROW(Table9[[#Headers],[block-id]])),-1)</f>
        <v>-1</v>
      </c>
      <c r="E147" s="30" t="b">
        <f t="shared" si="4"/>
        <v>0</v>
      </c>
      <c r="F147" t="b">
        <f>IF(D147&gt;-1, GetHypeRaw(E147,""))</f>
        <v>0</v>
      </c>
    </row>
    <row r="148" spans="2:6" x14ac:dyDescent="0.25">
      <c r="B148" s="14"/>
      <c r="C148" s="19"/>
      <c r="D148" s="11">
        <f>MAX(CHAIN_HEIGHT-(ROW() - ROW(Table9[[#Headers],[block-id]])),-1)</f>
        <v>-1</v>
      </c>
      <c r="E148" s="30" t="b">
        <f t="shared" si="4"/>
        <v>0</v>
      </c>
      <c r="F148" t="b">
        <f>IF(D148&gt;-1, GetHypeRaw(E148,""))</f>
        <v>0</v>
      </c>
    </row>
    <row r="149" spans="2:6" x14ac:dyDescent="0.25">
      <c r="B149" s="14"/>
      <c r="C149" s="19"/>
      <c r="D149" s="11">
        <f>MAX(CHAIN_HEIGHT-(ROW() - ROW(Table9[[#Headers],[block-id]])),-1)</f>
        <v>-1</v>
      </c>
      <c r="E149" s="30" t="b">
        <f t="shared" si="4"/>
        <v>0</v>
      </c>
      <c r="F149" t="b">
        <f>IF(D149&gt;-1, GetHypeRaw(E149,""))</f>
        <v>0</v>
      </c>
    </row>
    <row r="150" spans="2:6" x14ac:dyDescent="0.25">
      <c r="B150" s="14"/>
      <c r="C150" s="19"/>
      <c r="D150" s="11">
        <f>MAX(CHAIN_HEIGHT-(ROW() - ROW(Table9[[#Headers],[block-id]])),-1)</f>
        <v>-1</v>
      </c>
      <c r="E150" s="30" t="b">
        <f t="shared" si="4"/>
        <v>0</v>
      </c>
      <c r="F150" t="b">
        <f>IF(D150&gt;-1, GetHypeRaw(E150,""))</f>
        <v>0</v>
      </c>
    </row>
    <row r="151" spans="2:6" x14ac:dyDescent="0.25">
      <c r="B151" s="14"/>
      <c r="C151" s="19"/>
      <c r="D151" s="11">
        <f>MAX(CHAIN_HEIGHT-(ROW() - ROW(Table9[[#Headers],[block-id]])),-1)</f>
        <v>-1</v>
      </c>
      <c r="E151" s="30" t="b">
        <f t="shared" si="4"/>
        <v>0</v>
      </c>
      <c r="F151" t="b">
        <f>IF(D151&gt;-1, GetHypeRaw(E151,""))</f>
        <v>0</v>
      </c>
    </row>
    <row r="152" spans="2:6" x14ac:dyDescent="0.25">
      <c r="B152" s="14"/>
      <c r="C152" s="19"/>
      <c r="D152" s="19"/>
      <c r="E152" s="19"/>
      <c r="F152" s="19"/>
    </row>
  </sheetData>
  <dataConsolidate/>
  <conditionalFormatting sqref="D16:D151">
    <cfRule type="cellIs" dxfId="4" priority="2" operator="equal">
      <formula>-1</formula>
    </cfRule>
  </conditionalFormatting>
  <conditionalFormatting sqref="E16:F151">
    <cfRule type="expression" dxfId="3" priority="1">
      <formula>$D16&lt;0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hain_Copy_To_Clipboard_Button_1_Click">
                <anchor moveWithCells="1">
                  <from>
                    <xdr:col>3</xdr:col>
                    <xdr:colOff>38100</xdr:colOff>
                    <xdr:row>6</xdr:row>
                    <xdr:rowOff>19050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E11"/>
  <sheetViews>
    <sheetView workbookViewId="0">
      <selection activeCell="D10" sqref="D10"/>
    </sheetView>
  </sheetViews>
  <sheetFormatPr defaultRowHeight="15" x14ac:dyDescent="0.25"/>
  <cols>
    <col min="1" max="2" width="2.85546875" customWidth="1"/>
    <col min="3" max="3" width="19.42578125" customWidth="1"/>
    <col min="4" max="4" width="213.140625" customWidth="1"/>
  </cols>
  <sheetData>
    <row r="2" spans="2:5" x14ac:dyDescent="0.25">
      <c r="B2" s="6" t="s">
        <v>76</v>
      </c>
      <c r="C2" s="7"/>
      <c r="D2" s="7"/>
      <c r="E2" s="7"/>
    </row>
    <row r="4" spans="2:5" x14ac:dyDescent="0.25">
      <c r="B4" s="8" t="s">
        <v>5</v>
      </c>
      <c r="C4" s="9"/>
      <c r="D4" s="9"/>
      <c r="E4" s="9"/>
    </row>
    <row r="5" spans="2:5" x14ac:dyDescent="0.25">
      <c r="B5" s="9"/>
      <c r="C5" s="19" t="s">
        <v>107</v>
      </c>
      <c r="D5" s="2" t="str">
        <f>HYPERLINK('Block API Call'!E16)</f>
        <v>FALSE</v>
      </c>
    </row>
    <row r="6" spans="2:5" x14ac:dyDescent="0.25">
      <c r="B6" s="9"/>
      <c r="D6" s="27" t="s">
        <v>85</v>
      </c>
    </row>
    <row r="7" spans="2:5" x14ac:dyDescent="0.25">
      <c r="C7" s="4"/>
    </row>
    <row r="8" spans="2:5" x14ac:dyDescent="0.25">
      <c r="B8" s="13" t="s">
        <v>105</v>
      </c>
      <c r="C8" s="14"/>
      <c r="D8" s="14"/>
      <c r="E8" s="14"/>
    </row>
    <row r="9" spans="2:5" ht="16.5" customHeight="1" x14ac:dyDescent="0.25">
      <c r="B9" s="14"/>
      <c r="C9" s="19"/>
      <c r="D9" s="32"/>
    </row>
    <row r="10" spans="2:5" ht="409.5" customHeight="1" x14ac:dyDescent="0.25">
      <c r="B10" s="14"/>
      <c r="C10" s="1" t="s">
        <v>108</v>
      </c>
      <c r="D10" s="35" t="e">
        <f>GetHypePrettyPrinted(D5, "")</f>
        <v>#VALUE!</v>
      </c>
    </row>
    <row r="11" spans="2:5" x14ac:dyDescent="0.25">
      <c r="B11" s="14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31"/>
  <sheetViews>
    <sheetView workbookViewId="0">
      <selection activeCell="D15" sqref="D15"/>
    </sheetView>
  </sheetViews>
  <sheetFormatPr defaultRowHeight="15" x14ac:dyDescent="0.25"/>
  <cols>
    <col min="1" max="1" width="2.42578125" customWidth="1"/>
    <col min="2" max="2" width="2.85546875" customWidth="1"/>
    <col min="3" max="3" width="18" customWidth="1"/>
    <col min="4" max="4" width="20.7109375" customWidth="1"/>
    <col min="5" max="5" width="20.42578125" customWidth="1"/>
    <col min="6" max="6" width="33.140625" bestFit="1" customWidth="1"/>
  </cols>
  <sheetData>
    <row r="2" spans="2:14" x14ac:dyDescent="0.25">
      <c r="B2" s="6" t="s">
        <v>76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2:14" x14ac:dyDescent="0.25">
      <c r="B3" s="6"/>
      <c r="C3" s="25" t="s">
        <v>8</v>
      </c>
      <c r="D3" t="s">
        <v>9</v>
      </c>
    </row>
    <row r="4" spans="2:14" x14ac:dyDescent="0.25">
      <c r="B4" s="6"/>
      <c r="C4" s="25" t="s">
        <v>20</v>
      </c>
      <c r="D4" t="s">
        <v>109</v>
      </c>
    </row>
    <row r="5" spans="2:14" x14ac:dyDescent="0.25">
      <c r="B5" s="6"/>
      <c r="C5" s="25" t="s">
        <v>10</v>
      </c>
      <c r="D5" t="s">
        <v>11</v>
      </c>
      <c r="G5" s="2" t="s">
        <v>19</v>
      </c>
    </row>
    <row r="6" spans="2:14" x14ac:dyDescent="0.25">
      <c r="B6" s="6"/>
      <c r="C6" s="19"/>
    </row>
    <row r="7" spans="2:14" x14ac:dyDescent="0.25">
      <c r="B7" s="6"/>
      <c r="C7" s="25" t="s">
        <v>12</v>
      </c>
      <c r="D7" t="s">
        <v>13</v>
      </c>
      <c r="E7" t="s">
        <v>18</v>
      </c>
      <c r="G7" s="2" t="s">
        <v>14</v>
      </c>
    </row>
    <row r="8" spans="2:14" x14ac:dyDescent="0.25">
      <c r="B8" s="6"/>
      <c r="C8" s="19"/>
      <c r="D8" t="s">
        <v>15</v>
      </c>
      <c r="E8" t="s">
        <v>16</v>
      </c>
      <c r="G8" s="2" t="s">
        <v>17</v>
      </c>
    </row>
    <row r="9" spans="2:14" x14ac:dyDescent="0.25">
      <c r="B9" s="6"/>
      <c r="C9" s="19"/>
      <c r="D9" t="s">
        <v>61</v>
      </c>
      <c r="G9" s="2" t="s">
        <v>60</v>
      </c>
    </row>
    <row r="10" spans="2:14" x14ac:dyDescent="0.25">
      <c r="B10" s="6"/>
      <c r="C10" s="19"/>
      <c r="F10" s="2"/>
    </row>
    <row r="11" spans="2:14" x14ac:dyDescent="0.25">
      <c r="B11" s="6"/>
      <c r="C11" s="25" t="s">
        <v>21</v>
      </c>
    </row>
    <row r="12" spans="2:14" x14ac:dyDescent="0.25">
      <c r="B12" s="6"/>
      <c r="C12" s="25"/>
      <c r="D12" t="s">
        <v>36</v>
      </c>
      <c r="E12" t="s">
        <v>37</v>
      </c>
      <c r="F12" t="s">
        <v>46</v>
      </c>
    </row>
    <row r="13" spans="2:14" x14ac:dyDescent="0.25">
      <c r="B13" s="6"/>
      <c r="C13" s="25"/>
      <c r="D13" t="s">
        <v>39</v>
      </c>
      <c r="E13" t="s">
        <v>43</v>
      </c>
    </row>
    <row r="14" spans="2:14" x14ac:dyDescent="0.25">
      <c r="B14" s="6"/>
      <c r="C14" s="25"/>
      <c r="D14" t="s">
        <v>41</v>
      </c>
      <c r="E14" t="s">
        <v>42</v>
      </c>
    </row>
    <row r="15" spans="2:14" x14ac:dyDescent="0.25">
      <c r="B15" s="6"/>
      <c r="C15" s="19"/>
      <c r="D15" t="s">
        <v>40</v>
      </c>
      <c r="E15" t="s">
        <v>32</v>
      </c>
      <c r="F15" t="s">
        <v>23</v>
      </c>
    </row>
    <row r="16" spans="2:14" x14ac:dyDescent="0.25">
      <c r="B16" s="6"/>
      <c r="C16" s="19"/>
      <c r="D16" t="s">
        <v>44</v>
      </c>
      <c r="E16" t="s">
        <v>45</v>
      </c>
    </row>
    <row r="17" spans="2:7" x14ac:dyDescent="0.25">
      <c r="B17" s="6"/>
      <c r="C17" s="19"/>
      <c r="D17" t="s">
        <v>0</v>
      </c>
      <c r="E17" t="s">
        <v>28</v>
      </c>
    </row>
    <row r="18" spans="2:7" x14ac:dyDescent="0.25">
      <c r="B18" s="6"/>
      <c r="C18" s="19"/>
      <c r="D18" t="s">
        <v>31</v>
      </c>
      <c r="E18" t="s">
        <v>29</v>
      </c>
      <c r="F18" t="s">
        <v>30</v>
      </c>
      <c r="G18" s="2" t="s">
        <v>38</v>
      </c>
    </row>
    <row r="19" spans="2:7" x14ac:dyDescent="0.25">
      <c r="B19" s="6"/>
      <c r="C19" s="19"/>
      <c r="D19" t="s">
        <v>26</v>
      </c>
      <c r="G19" s="2" t="s">
        <v>27</v>
      </c>
    </row>
    <row r="20" spans="2:7" x14ac:dyDescent="0.25">
      <c r="B20" s="6"/>
      <c r="C20" s="19"/>
      <c r="D20" t="s">
        <v>34</v>
      </c>
      <c r="G20" s="2" t="s">
        <v>25</v>
      </c>
    </row>
    <row r="21" spans="2:7" x14ac:dyDescent="0.25">
      <c r="B21" s="6"/>
      <c r="C21" s="19"/>
      <c r="D21" t="s">
        <v>35</v>
      </c>
      <c r="E21" t="s">
        <v>22</v>
      </c>
    </row>
    <row r="22" spans="2:7" x14ac:dyDescent="0.25">
      <c r="B22" s="6"/>
      <c r="C22" s="19"/>
    </row>
    <row r="23" spans="2:7" x14ac:dyDescent="0.25">
      <c r="B23" s="6"/>
      <c r="C23" s="25" t="s">
        <v>69</v>
      </c>
    </row>
    <row r="24" spans="2:7" x14ac:dyDescent="0.25">
      <c r="B24" s="6"/>
      <c r="C24" s="19"/>
      <c r="D24" t="s">
        <v>33</v>
      </c>
      <c r="G24" s="2" t="s">
        <v>24</v>
      </c>
    </row>
    <row r="25" spans="2:7" x14ac:dyDescent="0.25">
      <c r="B25" s="6"/>
      <c r="C25" s="19"/>
      <c r="D25" t="s">
        <v>68</v>
      </c>
      <c r="E25" t="s">
        <v>70</v>
      </c>
      <c r="G25" s="2" t="s">
        <v>62</v>
      </c>
    </row>
    <row r="26" spans="2:7" x14ac:dyDescent="0.25">
      <c r="B26" s="6"/>
      <c r="C26" s="19"/>
      <c r="D26" t="s">
        <v>53</v>
      </c>
      <c r="G26" s="2" t="s">
        <v>52</v>
      </c>
    </row>
    <row r="27" spans="2:7" x14ac:dyDescent="0.25">
      <c r="B27" s="6"/>
      <c r="C27" s="19"/>
    </row>
    <row r="28" spans="2:7" x14ac:dyDescent="0.25">
      <c r="B28" s="6"/>
      <c r="C28" s="25" t="s">
        <v>55</v>
      </c>
    </row>
    <row r="29" spans="2:7" x14ac:dyDescent="0.25">
      <c r="B29" s="6"/>
      <c r="C29" s="19"/>
      <c r="D29" t="s">
        <v>71</v>
      </c>
      <c r="G29" s="2" t="s">
        <v>54</v>
      </c>
    </row>
    <row r="30" spans="2:7" x14ac:dyDescent="0.25">
      <c r="B30" s="6"/>
      <c r="C30" s="19"/>
    </row>
    <row r="31" spans="2:7" x14ac:dyDescent="0.25">
      <c r="C31" s="19"/>
    </row>
  </sheetData>
  <hyperlinks>
    <hyperlink ref="G7" r:id="rId1"/>
    <hyperlink ref="G8" r:id="rId2"/>
    <hyperlink ref="G5" r:id="rId3"/>
    <hyperlink ref="G24" r:id="rId4"/>
    <hyperlink ref="G20" r:id="rId5"/>
    <hyperlink ref="G19" r:id="rId6"/>
    <hyperlink ref="G18" r:id="rId7"/>
    <hyperlink ref="G26" r:id="rId8"/>
    <hyperlink ref="G29" r:id="rId9"/>
    <hyperlink ref="G9" r:id="rId10"/>
    <hyperlink ref="G25" r:id="rId11" location="62-rest-api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12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13" sqref="C13"/>
    </sheetView>
  </sheetViews>
  <sheetFormatPr defaultRowHeight="15" x14ac:dyDescent="0.25"/>
  <cols>
    <col min="1" max="1" width="2.42578125" customWidth="1"/>
    <col min="2" max="2" width="2.85546875" customWidth="1"/>
    <col min="3" max="3" width="36.28515625" customWidth="1"/>
    <col min="4" max="5" width="71.85546875" customWidth="1"/>
  </cols>
  <sheetData>
    <row r="1" spans="2:5" ht="15" customHeight="1" x14ac:dyDescent="0.25"/>
    <row r="2" spans="2:5" x14ac:dyDescent="0.25">
      <c r="B2" s="6" t="s">
        <v>76</v>
      </c>
      <c r="C2" s="7"/>
      <c r="D2" s="7"/>
      <c r="E2" s="7"/>
    </row>
    <row r="4" spans="2:5" x14ac:dyDescent="0.25">
      <c r="B4" s="26" t="s">
        <v>82</v>
      </c>
      <c r="C4" s="10"/>
      <c r="D4" s="10"/>
      <c r="E4" s="10"/>
    </row>
    <row r="5" spans="2:5" x14ac:dyDescent="0.25">
      <c r="B5" s="10"/>
      <c r="C5" s="3" t="s">
        <v>80</v>
      </c>
      <c r="D5" s="3" t="s">
        <v>79</v>
      </c>
      <c r="E5" s="3" t="s">
        <v>81</v>
      </c>
    </row>
    <row r="6" spans="2:5" ht="270" x14ac:dyDescent="0.25">
      <c r="B6" s="10"/>
      <c r="C6" s="31" t="s">
        <v>78</v>
      </c>
      <c r="D6" s="1" t="s">
        <v>77</v>
      </c>
      <c r="E6" s="1" t="s">
        <v>51</v>
      </c>
    </row>
    <row r="7" spans="2:5" ht="30" x14ac:dyDescent="0.25">
      <c r="B7" s="10"/>
      <c r="C7" s="31" t="s">
        <v>83</v>
      </c>
      <c r="D7" s="1" t="s">
        <v>84</v>
      </c>
      <c r="E7" s="1"/>
    </row>
    <row r="8" spans="2:5" ht="45" x14ac:dyDescent="0.25">
      <c r="B8" s="10"/>
      <c r="C8" s="31" t="s">
        <v>86</v>
      </c>
      <c r="D8" s="1" t="s">
        <v>88</v>
      </c>
      <c r="E8" s="1" t="s">
        <v>87</v>
      </c>
    </row>
    <row r="9" spans="2:5" ht="60" x14ac:dyDescent="0.25">
      <c r="B9" s="10"/>
      <c r="C9" s="31" t="s">
        <v>90</v>
      </c>
      <c r="D9" s="1" t="s">
        <v>89</v>
      </c>
      <c r="E9" s="1"/>
    </row>
    <row r="10" spans="2:5" ht="30" x14ac:dyDescent="0.25">
      <c r="B10" s="10"/>
      <c r="C10" s="31" t="s">
        <v>91</v>
      </c>
      <c r="D10" s="1" t="s">
        <v>92</v>
      </c>
      <c r="E10" s="1"/>
    </row>
    <row r="11" spans="2:5" ht="30" x14ac:dyDescent="0.25">
      <c r="B11" s="10"/>
      <c r="C11" s="31" t="s">
        <v>93</v>
      </c>
      <c r="D11" s="1" t="s">
        <v>94</v>
      </c>
      <c r="E11" s="1"/>
    </row>
    <row r="12" spans="2:5" x14ac:dyDescent="0.25">
      <c r="B12" s="10"/>
      <c r="C12" s="31" t="s">
        <v>103</v>
      </c>
      <c r="D12" s="1" t="s">
        <v>104</v>
      </c>
      <c r="E12" s="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CF39E9-2413-4036-BC21-78F51F33C6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Global Config</vt:lpstr>
      <vt:lpstr>Network API Call</vt:lpstr>
      <vt:lpstr>Chain API Call</vt:lpstr>
      <vt:lpstr>Block API Call</vt:lpstr>
      <vt:lpstr>Block Details</vt:lpstr>
      <vt:lpstr>About</vt:lpstr>
      <vt:lpstr>Troubleshooting</vt:lpstr>
      <vt:lpstr>BASE_URL</vt:lpstr>
      <vt:lpstr>CHAIN_API_CALL_BROWSER_URL</vt:lpstr>
      <vt:lpstr>CHAIN_API_CALL_CLEARED_AREA</vt:lpstr>
      <vt:lpstr>CHAIN_API_CALL_RAW_RESPONSE</vt:lpstr>
      <vt:lpstr>CHAIN_API_CALL_STATUS_CODE</vt:lpstr>
      <vt:lpstr>CHAIN_API_CALL_STATUS_DESCRIPTION</vt:lpstr>
      <vt:lpstr>CHAIN_API_CALL_TEXT_TO_COLUMNS</vt:lpstr>
      <vt:lpstr>CHAIN_API_CALL_URL_SUFFIX</vt:lpstr>
      <vt:lpstr>CHAIN_HEIGHT</vt:lpstr>
      <vt:lpstr>CHAIN_QUERY_RESULT</vt:lpstr>
      <vt:lpstr>NETWORK_RESPONSE</vt:lpstr>
      <vt:lpstr>NETWORK_URL_SUFFIX</vt:lpstr>
      <vt:lpstr>TOP_BLOCK_RAW_RESPONSE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Sevareid</dc:creator>
  <cp:lastModifiedBy>Jeremy Sevareid</cp:lastModifiedBy>
  <dcterms:created xsi:type="dcterms:W3CDTF">2011-08-25T14:29:57Z</dcterms:created>
  <dcterms:modified xsi:type="dcterms:W3CDTF">2016-11-10T22:14:58Z</dcterms:modified>
</cp:coreProperties>
</file>