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360db33fb8e4f52/1_Jer_Work/1_Blockchain/Bluemix/excel/"/>
    </mc:Choice>
  </mc:AlternateContent>
  <bookViews>
    <workbookView xWindow="18615" yWindow="345" windowWidth="20745" windowHeight="9765"/>
  </bookViews>
  <sheets>
    <sheet name="Block Details Parsed" sheetId="15" r:id="rId1"/>
    <sheet name="Block API Call" sheetId="13" r:id="rId2"/>
    <sheet name="Chain API Call" sheetId="12" r:id="rId3"/>
    <sheet name="Network API Call" sheetId="6" r:id="rId4"/>
    <sheet name="Global Config" sheetId="8" r:id="rId5"/>
    <sheet name="About" sheetId="11" r:id="rId6"/>
    <sheet name="Troubleshooting" sheetId="14" r:id="rId7"/>
  </sheets>
  <functionGroups builtInGroupCount="18"/>
  <definedNames>
    <definedName name="BASE_URL">'Global Config'!$D$4</definedName>
    <definedName name="BLOCK_DETAILS_RAW_RESPONSE">'Block Details Parsed'!$D$10</definedName>
    <definedName name="CHAIN_API_CALL_BROWSER_URL">'Chain API Call'!$E$7</definedName>
    <definedName name="CHAIN_API_CALL_CLEARED_AREA">'Chain API Call'!$E$12:$E$14</definedName>
    <definedName name="CHAIN_API_CALL_CURRENT_BLOCK_HEIGHT">CHAIN_API_CALL_RAW_RESPONSE_1[Column1.height]</definedName>
    <definedName name="CHAIN_API_CALL_PRETTY_PRINTED_RESPONSE">'Chain API Call'!#REF!</definedName>
    <definedName name="CHAIN_API_CALL_RAW_RESPONSE">'Chain API Call'!$E$14</definedName>
    <definedName name="CHAIN_API_CALL_STATUS_CODE">'Chain API Call'!$E$12</definedName>
    <definedName name="CHAIN_API_CALL_STATUS_DESCRIPTION">'Chain API Call'!$E$13</definedName>
    <definedName name="CHAIN_API_CALL_URL_SUFFIX">'Chain API Call'!$E$6</definedName>
    <definedName name="CHAIN_HEIGHT">CHAIN_API_CALL_RAW_RESPONSE_1[Column1.height]</definedName>
    <definedName name="ExternalData_3" localSheetId="2" hidden="1">'Chain API Call'!$E$16:$G$17</definedName>
    <definedName name="ExternalData_4" localSheetId="2" hidden="1">'Chain API Call'!$E$21:$F$24</definedName>
    <definedName name="NETWORK_RESPONSE">'Network API Call'!$E$12:$H$15</definedName>
    <definedName name="NETWORK_URL_SUFFIX">'Network API Call'!$E$6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5" l="1"/>
  <c r="D10" i="15"/>
  <c r="E22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2" i="13"/>
  <c r="D13" i="15"/>
  <c r="G16" i="6" l="1"/>
  <c r="E7" i="6"/>
  <c r="E7" i="13"/>
  <c r="E16" i="13" l="1"/>
  <c r="E7" i="12"/>
  <c r="F16" i="13"/>
  <c r="E17" i="13" l="1"/>
  <c r="F17" i="13"/>
  <c r="E18" i="13" l="1"/>
  <c r="F18" i="13"/>
  <c r="E19" i="13" l="1"/>
  <c r="F19" i="13"/>
  <c r="E20" i="13" l="1"/>
  <c r="F20" i="13"/>
  <c r="E21" i="13" l="1"/>
  <c r="F21" i="13"/>
  <c r="F22" i="13"/>
  <c r="E23" i="13" l="1"/>
  <c r="F23" i="13"/>
  <c r="E24" i="13" l="1"/>
  <c r="F24" i="13"/>
  <c r="E25" i="13" l="1"/>
  <c r="F25" i="13"/>
  <c r="E26" i="13" l="1"/>
  <c r="F26" i="13"/>
  <c r="E27" i="13" l="1"/>
  <c r="F27" i="13"/>
  <c r="E28" i="13" l="1"/>
  <c r="F28" i="13"/>
  <c r="E29" i="13" l="1"/>
  <c r="F29" i="13"/>
  <c r="E30" i="13" l="1"/>
  <c r="F30" i="13"/>
  <c r="E31" i="13" l="1"/>
  <c r="F31" i="13"/>
  <c r="E32" i="13" l="1"/>
  <c r="F32" i="13"/>
  <c r="E33" i="13" l="1"/>
  <c r="F33" i="13"/>
  <c r="E34" i="13" l="1"/>
  <c r="F34" i="13"/>
  <c r="E35" i="13" l="1"/>
  <c r="F35" i="13"/>
  <c r="E36" i="13" l="1"/>
  <c r="F36" i="13"/>
  <c r="E37" i="13" l="1"/>
  <c r="F37" i="13"/>
  <c r="E38" i="13" l="1"/>
  <c r="F38" i="13"/>
  <c r="E39" i="13" l="1"/>
  <c r="F39" i="13"/>
  <c r="E40" i="13" l="1"/>
  <c r="F40" i="13"/>
  <c r="E41" i="13" l="1"/>
  <c r="F41" i="13"/>
  <c r="E42" i="13" l="1"/>
  <c r="F42" i="13"/>
  <c r="E43" i="13" l="1"/>
  <c r="F43" i="13"/>
  <c r="E44" i="13" l="1"/>
  <c r="F44" i="13"/>
  <c r="E45" i="13" l="1"/>
  <c r="F45" i="13"/>
  <c r="E46" i="13" l="1"/>
  <c r="F46" i="13"/>
  <c r="E47" i="13" l="1"/>
  <c r="F47" i="13"/>
  <c r="E48" i="13" l="1"/>
  <c r="F48" i="13"/>
  <c r="E49" i="13" l="1"/>
  <c r="F49" i="13"/>
  <c r="E50" i="13" l="1"/>
  <c r="F50" i="13"/>
  <c r="E51" i="13" l="1"/>
  <c r="F51" i="13"/>
  <c r="E52" i="13" l="1"/>
  <c r="F52" i="13"/>
  <c r="E53" i="13" l="1"/>
  <c r="F53" i="13"/>
  <c r="E54" i="13" l="1"/>
  <c r="F54" i="13"/>
  <c r="E55" i="13" l="1"/>
  <c r="F55" i="13"/>
  <c r="E56" i="13" l="1"/>
  <c r="F56" i="13"/>
  <c r="E57" i="13" l="1"/>
  <c r="F57" i="13"/>
  <c r="E58" i="13" l="1"/>
  <c r="F58" i="13"/>
  <c r="E59" i="13" l="1"/>
  <c r="F59" i="13"/>
  <c r="E60" i="13" l="1"/>
  <c r="F60" i="13"/>
  <c r="E61" i="13" l="1"/>
  <c r="F61" i="13"/>
  <c r="E62" i="13" l="1"/>
  <c r="F62" i="13"/>
  <c r="E63" i="13" l="1"/>
  <c r="F63" i="13"/>
  <c r="E64" i="13" l="1"/>
  <c r="F64" i="13"/>
  <c r="E65" i="13" l="1"/>
  <c r="F65" i="13"/>
  <c r="E66" i="13" l="1"/>
  <c r="F66" i="13"/>
  <c r="E67" i="13" l="1"/>
  <c r="F67" i="13"/>
  <c r="E68" i="13" l="1"/>
  <c r="F68" i="13"/>
  <c r="E69" i="13" l="1"/>
  <c r="F69" i="13"/>
  <c r="E70" i="13" l="1"/>
  <c r="F70" i="13"/>
  <c r="E71" i="13" l="1"/>
  <c r="F71" i="13"/>
  <c r="E72" i="13" l="1"/>
  <c r="F72" i="13"/>
  <c r="E73" i="13" l="1"/>
  <c r="F73" i="13"/>
  <c r="E74" i="13" l="1"/>
  <c r="F74" i="13"/>
  <c r="E75" i="13" l="1"/>
  <c r="F75" i="13"/>
  <c r="E76" i="13" l="1"/>
  <c r="F76" i="13"/>
  <c r="E77" i="13" l="1"/>
  <c r="F77" i="13"/>
  <c r="E78" i="13" l="1"/>
  <c r="F78" i="13"/>
  <c r="E79" i="13" l="1"/>
  <c r="F79" i="13"/>
  <c r="E80" i="13" l="1"/>
  <c r="F80" i="13"/>
  <c r="E81" i="13" l="1"/>
  <c r="F81" i="13"/>
  <c r="E82" i="13" l="1"/>
  <c r="F82" i="13"/>
  <c r="E83" i="13" l="1"/>
  <c r="F83" i="13"/>
  <c r="E84" i="13" l="1"/>
  <c r="F84" i="13"/>
  <c r="E85" i="13" l="1"/>
  <c r="F85" i="13"/>
  <c r="E86" i="13" l="1"/>
  <c r="F86" i="13"/>
  <c r="E87" i="13" l="1"/>
  <c r="F87" i="13"/>
  <c r="E88" i="13" l="1"/>
  <c r="F88" i="13"/>
  <c r="E89" i="13" l="1"/>
  <c r="F89" i="13"/>
  <c r="E90" i="13" l="1"/>
  <c r="F90" i="13"/>
  <c r="E91" i="13" l="1"/>
  <c r="F91" i="13"/>
  <c r="E92" i="13" l="1"/>
  <c r="F92" i="13"/>
  <c r="E93" i="13" l="1"/>
  <c r="F93" i="13"/>
  <c r="E94" i="13" l="1"/>
  <c r="F94" i="13"/>
  <c r="E95" i="13" l="1"/>
  <c r="F95" i="13"/>
  <c r="E96" i="13" l="1"/>
  <c r="F96" i="13"/>
  <c r="E97" i="13" l="1"/>
  <c r="F97" i="13"/>
  <c r="E98" i="13" l="1"/>
  <c r="F98" i="13"/>
  <c r="E99" i="13" l="1"/>
  <c r="F99" i="13"/>
  <c r="E100" i="13" l="1"/>
  <c r="F100" i="13"/>
  <c r="E101" i="13" l="1"/>
  <c r="F101" i="13"/>
  <c r="E102" i="13" l="1"/>
  <c r="F102" i="13"/>
  <c r="E103" i="13" l="1"/>
  <c r="F103" i="13"/>
  <c r="E104" i="13" l="1"/>
  <c r="F104" i="13"/>
  <c r="E105" i="13" l="1"/>
  <c r="F105" i="13"/>
  <c r="E106" i="13" l="1"/>
  <c r="F106" i="13"/>
  <c r="E107" i="13" l="1"/>
  <c r="F107" i="13"/>
  <c r="E108" i="13" l="1"/>
  <c r="F108" i="13"/>
  <c r="E109" i="13" l="1"/>
  <c r="F109" i="13"/>
  <c r="E110" i="13" l="1"/>
  <c r="F110" i="13"/>
  <c r="E111" i="13" l="1"/>
  <c r="F111" i="13"/>
  <c r="E112" i="13" l="1"/>
  <c r="F112" i="13"/>
  <c r="E113" i="13" l="1"/>
  <c r="F113" i="13"/>
  <c r="E114" i="13" l="1"/>
  <c r="F114" i="13"/>
  <c r="E115" i="13" l="1"/>
  <c r="F115" i="13"/>
  <c r="E116" i="13" l="1"/>
  <c r="F116" i="13"/>
  <c r="E117" i="13" l="1"/>
  <c r="F117" i="13"/>
  <c r="E118" i="13" l="1"/>
  <c r="F118" i="13"/>
  <c r="E119" i="13" l="1"/>
  <c r="F119" i="13"/>
  <c r="E120" i="13" l="1"/>
  <c r="F120" i="13"/>
  <c r="E121" i="13" l="1"/>
  <c r="F121" i="13"/>
  <c r="E122" i="13" l="1"/>
  <c r="F122" i="13"/>
  <c r="E123" i="13" l="1"/>
  <c r="F123" i="13"/>
  <c r="E124" i="13" l="1"/>
  <c r="F124" i="13"/>
  <c r="E125" i="13" l="1"/>
  <c r="F125" i="13"/>
  <c r="E126" i="13" l="1"/>
  <c r="F126" i="13"/>
  <c r="E127" i="13" l="1"/>
  <c r="F127" i="13"/>
  <c r="E128" i="13" l="1"/>
  <c r="F128" i="13"/>
  <c r="E129" i="13" l="1"/>
  <c r="F129" i="13"/>
  <c r="E130" i="13" l="1"/>
  <c r="F130" i="13"/>
  <c r="E131" i="13" l="1"/>
  <c r="F131" i="13"/>
  <c r="E132" i="13" l="1"/>
  <c r="F132" i="13"/>
  <c r="E133" i="13" l="1"/>
  <c r="F133" i="13"/>
  <c r="E134" i="13" l="1"/>
  <c r="F134" i="13"/>
  <c r="E135" i="13" l="1"/>
  <c r="F135" i="13"/>
  <c r="E136" i="13" l="1"/>
  <c r="F136" i="13"/>
  <c r="E137" i="13" l="1"/>
  <c r="F137" i="13"/>
  <c r="E138" i="13" l="1"/>
  <c r="F138" i="13"/>
  <c r="E139" i="13" l="1"/>
  <c r="F139" i="13"/>
  <c r="E140" i="13" l="1"/>
  <c r="F140" i="13"/>
  <c r="E141" i="13" l="1"/>
  <c r="F141" i="13"/>
  <c r="E142" i="13" l="1"/>
  <c r="F142" i="13"/>
  <c r="E143" i="13" l="1"/>
  <c r="F143" i="13"/>
  <c r="E144" i="13" l="1"/>
  <c r="F144" i="13"/>
  <c r="E145" i="13" l="1"/>
  <c r="F145" i="13"/>
  <c r="E146" i="13" l="1"/>
  <c r="F146" i="13"/>
  <c r="E147" i="13" l="1"/>
  <c r="F147" i="13"/>
  <c r="E148" i="13" l="1"/>
  <c r="F148" i="13"/>
  <c r="E149" i="13" l="1"/>
  <c r="F149" i="13"/>
  <c r="E150" i="13" l="1"/>
  <c r="F150" i="13"/>
  <c r="E151" i="13" l="1"/>
  <c r="F151" i="13"/>
</calcChain>
</file>

<file path=xl/connections.xml><?xml version="1.0" encoding="utf-8"?>
<connections xmlns="http://schemas.openxmlformats.org/spreadsheetml/2006/main">
  <connection id="1" keepAlive="1" name="Query - chain" description="Connection to the 'chain' query in the workbook." type="5" refreshedVersion="6" background="1" saveData="1">
    <dbPr connection="Provider=Microsoft.Mashup.OleDb.1;Data Source=$Workbook$;Location=chain;Extended Properties=&quot;&quot;" command="SELECT * FROM [chain]"/>
  </connection>
  <connection id="2" keepAlive="1" name="Query - CHAIN_API_CALL_RAW_RESPONSE" description="Connection to the 'CHAIN_API_CALL_RAW_RESPONSE' query in the workbook." type="5" refreshedVersion="6" background="1">
    <dbPr connection="Provider=Microsoft.Mashup.OleDb.1;Data Source=$Workbook$;Location=CHAIN_API_CALL_RAW_RESPONSE;Extended Properties=&quot;&quot;" command="SELECT * FROM [CHAIN_API_CALL_RAW_RESPONSE]"/>
  </connection>
</connections>
</file>

<file path=xl/sharedStrings.xml><?xml version="1.0" encoding="utf-8"?>
<sst xmlns="http://schemas.openxmlformats.org/spreadsheetml/2006/main" count="144" uniqueCount="123">
  <si>
    <t>Type</t>
  </si>
  <si>
    <t>ID</t>
  </si>
  <si>
    <t>pkiID</t>
  </si>
  <si>
    <t>Base URL of one peer validating node</t>
  </si>
  <si>
    <t>GET</t>
  </si>
  <si>
    <t>Request</t>
  </si>
  <si>
    <t>URL_Suffix</t>
  </si>
  <si>
    <t>/network/peers</t>
  </si>
  <si>
    <t>{_x000D_
  "name": "vp2"_x000D_
}</t>
  </si>
  <si>
    <t>{_x000D_
  "name": "vp1"_x000D_
}</t>
  </si>
  <si>
    <t>{_x000D_
  "name": "vp3"_x000D_
}</t>
  </si>
  <si>
    <t>{_x000D_
  "name": "vp0"_x000D_
}</t>
  </si>
  <si>
    <t>Author</t>
  </si>
  <si>
    <t>Jeremy Sevareid</t>
  </si>
  <si>
    <t>License</t>
  </si>
  <si>
    <t>MIT</t>
  </si>
  <si>
    <t>Utilizes</t>
  </si>
  <si>
    <t>VBA-Web</t>
  </si>
  <si>
    <t>https://github.com/VBA-tools/VBA-Web</t>
  </si>
  <si>
    <t>VBA-JSON</t>
  </si>
  <si>
    <t>v2.2.1</t>
  </si>
  <si>
    <t>https://github.com/VBA-tools/VBA-JSON</t>
  </si>
  <si>
    <t>v4.1.1</t>
  </si>
  <si>
    <t>http://www.opensource.org/licenses/mit-license.php</t>
  </si>
  <si>
    <t>Copyright</t>
  </si>
  <si>
    <t>© Jeremy Sevareid, 2017, jeremysevareid@gmail.com</t>
  </si>
  <si>
    <t>Invokes</t>
  </si>
  <si>
    <t>IBM Bluemix</t>
  </si>
  <si>
    <t>Blockchain Hackathon-fd</t>
  </si>
  <si>
    <t>https://console.ng.bluemix.net/docs/services/blockchain/ibmblockchain_overview.html</t>
  </si>
  <si>
    <t>https://console.ng.bluemix.net/</t>
  </si>
  <si>
    <t>Service Catalog</t>
  </si>
  <si>
    <t>https://console.ng.bluemix.net/catalog/</t>
  </si>
  <si>
    <t>Service</t>
  </si>
  <si>
    <t>Web and Application</t>
  </si>
  <si>
    <t>Blockchain Hackathon IBM BETA</t>
  </si>
  <si>
    <t>Services</t>
  </si>
  <si>
    <t>Unbound Service</t>
  </si>
  <si>
    <t>Service Documentation</t>
  </si>
  <si>
    <t>Provisioning Dashboard</t>
  </si>
  <si>
    <t>Cloud Provider</t>
  </si>
  <si>
    <t>Hyperledger</t>
  </si>
  <si>
    <t>Fabric</t>
  </si>
  <si>
    <t>https://console.ng.bluemix.net/catalog/services/blockchain-hackathon/</t>
  </si>
  <si>
    <t>Selected Plan</t>
  </si>
  <si>
    <t>App</t>
  </si>
  <si>
    <t>Space</t>
  </si>
  <si>
    <t>dev</t>
  </si>
  <si>
    <t>Starter Developer plan</t>
  </si>
  <si>
    <t>Publish Date</t>
  </si>
  <si>
    <t>10/12/2016 by IBM Author</t>
  </si>
  <si>
    <t>v0.5</t>
  </si>
  <si>
    <t>https://893727999f2b46a78b7316cc9eaca0e3-vp0.dev.blockchain.ibm.com:443</t>
  </si>
  <si>
    <t>/chain</t>
  </si>
  <si>
    <t>Raw Response</t>
  </si>
  <si>
    <t>HTTP Request Type</t>
  </si>
  <si>
    <t>REST API Call</t>
  </si>
  <si>
    <t>TBD</t>
  </si>
  <si>
    <t>Status Code</t>
  </si>
  <si>
    <t>Status Description</t>
  </si>
  <si>
    <t>https://msdn.microsoft.com/en-us/library/office/fp179694.aspx</t>
  </si>
  <si>
    <t>MSDN--&gt;Office Dev Center--&gt;Office Development--&gt;Office clients--&gt;Excel</t>
  </si>
  <si>
    <t>https://konklone.io/json/</t>
  </si>
  <si>
    <t>Useful Tools</t>
  </si>
  <si>
    <t>Column1.height</t>
  </si>
  <si>
    <t>Column1.currentBlockHash</t>
  </si>
  <si>
    <t>Column1.previousBlockHash</t>
  </si>
  <si>
    <t>HIbTI1lVe9W8dHgzyBr2WX0qSasY+fkvndpWrOXKZAwjL3ybAMnKL1OTLA37MUsMUqd7iIVC79os1MktHcn9pA==</t>
  </si>
  <si>
    <t>Name</t>
  </si>
  <si>
    <t>Value</t>
  </si>
  <si>
    <t>height</t>
  </si>
  <si>
    <t>currentBlockHash</t>
  </si>
  <si>
    <t>previousBlockHash</t>
  </si>
  <si>
    <t>Invoke in Browser via Hyperlink</t>
  </si>
  <si>
    <t>Raw response parsed by workbook query</t>
  </si>
  <si>
    <t>Response from VBA invoked via buttons at right</t>
  </si>
  <si>
    <t>Invoke via VBA CLI</t>
  </si>
  <si>
    <t>https://msdn.microsoft.com/en-us/library/office/ff192913.aspx</t>
  </si>
  <si>
    <t>MSDN VBA sample code for windows API clipboard</t>
  </si>
  <si>
    <t>OK</t>
  </si>
  <si>
    <t>https://github.com/hyperledger/fabric/blob/master/docs/protocol-spec.md#62-rest-api</t>
  </si>
  <si>
    <t>block-id</t>
  </si>
  <si>
    <t>/chain/blocks/</t>
  </si>
  <si>
    <t>Table7</t>
  </si>
  <si>
    <t>REST URL</t>
  </si>
  <si>
    <t>Chain Height</t>
  </si>
  <si>
    <t>Origin Block</t>
  </si>
  <si>
    <t>Hyperledger REST API</t>
  </si>
  <si>
    <t>Useful Documentation</t>
  </si>
  <si>
    <t>Likely deprecated copy b/c it is on github rather than LinuxFoundation</t>
  </si>
  <si>
    <t>Pretty-print JSON and Convert JSON to CSV</t>
  </si>
  <si>
    <t>Response invoked &amp; parsed by VBA</t>
  </si>
  <si>
    <t>Browser URL</t>
  </si>
  <si>
    <t>address</t>
  </si>
  <si>
    <t>type</t>
  </si>
  <si>
    <t>Hyperledger Blockchain REST APIs</t>
  </si>
  <si>
    <t>REST API called and response parsed by workbook query</t>
  </si>
  <si>
    <t>gregmisiorek [2:12 PM]  
@jserv the new file looks great with a lot of documentation. unfortunately, the same error (408) persists. here, it's the lower version file log output:
[2:13]  
--&gt; Request - 1:51:17 PM
GET https://86dab1801e574ee193166bab7023e427-vp0.dev.blockchain.ibm.com:443/network/peers
User-Agent: Mozilla/48.0.2
Content-Type: application/json
Accept: application/json
Content-Length: 81
&lt;-- Response - 1:51:22 PM
408 Request Timeout: The operation timed out
Error:</t>
  </si>
  <si>
    <t>HTTP error #408</t>
  </si>
  <si>
    <t>Detail</t>
  </si>
  <si>
    <t>Summary</t>
  </si>
  <si>
    <t>Resolution</t>
  </si>
  <si>
    <t>Troubleshooting</t>
  </si>
  <si>
    <t>"893727999f2b46a78b7316cc9eaca0e3-vp2.dev.blockchain.ibm.com:30303"</t>
  </si>
  <si>
    <t>"kJeJbmL8SstudZwayS2KXYLo5sr1tqehqn2hEHGCyMg="</t>
  </si>
  <si>
    <t>"893727999f2b46a78b7316cc9eaca0e3-vp1.dev.blockchain.ibm.com:30303"</t>
  </si>
  <si>
    <t>"I7dd8/c1Dy4bLh3OmuK8ONxqGH6qcYLtG87l7k8Fhy0="</t>
  </si>
  <si>
    <t>"893727999f2b46a78b7316cc9eaca0e3-vp3.dev.blockchain.ibm.com:30303"</t>
  </si>
  <si>
    <t>"KmtfhiI2Zp6+t/Jhq3U4lniXVTFnvv+5ExYgoKEkYMc="</t>
  </si>
  <si>
    <t>"893727999f2b46a78b7316cc9eaca0e3-vp0.dev.blockchain.ibm.com:30303"</t>
  </si>
  <si>
    <t>"5rbKqCcW0LoPOixNxutw89RK+7bGq/OSI0g4toIi2VE="</t>
  </si>
  <si>
    <t>Response from VBA invoked via calculated functions</t>
  </si>
  <si>
    <t>Assumes Chain API call has already been invoked</t>
  </si>
  <si>
    <t xml:space="preserve">{"height":7,"currentBlockHash":"lbHldau5hjoZeBJkDWSQk+4JeMD5qj5PurCkXvcPavqbhbdmbv2g9dZ6vv+e6HGq7HxCXtwqHxYDNayAW32VLA==","previousBlockHash":"HIbTI1lVe9W8dHgzyBr2WX0qSasY+fkvndpWrOXKZAwjL3ybAMnKL1OTLA37MUsMUqd7iIVC79os1MktHcn9pA=="}
</t>
  </si>
  <si>
    <t>lbHldau5hjoZeBJkDWSQk+4JeMD5qj5PurCkXvcPavqbhbdmbv2g9dZ6vv+e6HGq7HxCXtwqHxYDNayAW32VLA==</t>
  </si>
  <si>
    <t>{"Error": "Openchain endpoint not found."}</t>
  </si>
  <si>
    <t>chain/blocks/block_id where unknown/non-existent block ID is used</t>
  </si>
  <si>
    <t>Assumes Block API call has already been invoked</t>
  </si>
  <si>
    <t>Response</t>
  </si>
  <si>
    <t>There was an error parsing this JSON.</t>
  </si>
  <si>
    <t>Use copy to clipboard buttons
-or-
Change doubled double-quotes "" everywhere to single double-quote "</t>
  </si>
  <si>
    <t>If you manually cut and paste a raw JSON message from a cell into a web page like https://konklone.io/json, it will be formatted with extra double-quotes around every text string. I.e., ""sample"" instead of "sample".</t>
  </si>
  <si>
    <t>Formula-invoked
function
with pretty printing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</si>
</sst>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Lucida Console"/>
      <family val="3"/>
    </font>
    <font>
      <sz val="8"/>
      <color theme="1"/>
      <name val="Lucida Console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5" fillId="3" borderId="0" applyNumberFormat="0" applyBorder="0" applyAlignment="0" applyProtection="0"/>
  </cellStyleXfs>
  <cellXfs count="43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0" applyFont="1"/>
    <xf numFmtId="0" fontId="0" fillId="0" borderId="0" xfId="0" applyFont="1"/>
    <xf numFmtId="0" fontId="0" fillId="0" borderId="0" xfId="0" applyNumberFormat="1"/>
    <xf numFmtId="0" fontId="2" fillId="4" borderId="0" xfId="0" applyFont="1" applyFill="1"/>
    <xf numFmtId="0" fontId="0" fillId="4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0" borderId="1" xfId="0" applyFont="1" applyFill="1" applyBorder="1"/>
    <xf numFmtId="0" fontId="0" fillId="0" borderId="2" xfId="0" applyFont="1" applyFill="1" applyBorder="1"/>
    <xf numFmtId="0" fontId="0" fillId="0" borderId="3" xfId="0" applyFont="1" applyFill="1" applyBorder="1"/>
    <xf numFmtId="0" fontId="0" fillId="0" borderId="4" xfId="0" applyNumberFormat="1" applyFill="1" applyBorder="1"/>
    <xf numFmtId="0" fontId="0" fillId="0" borderId="5" xfId="0" applyNumberFormat="1" applyFill="1" applyBorder="1" applyAlignment="1">
      <alignment wrapText="1"/>
    </xf>
    <xf numFmtId="0" fontId="0" fillId="0" borderId="6" xfId="0" applyNumberFormat="1" applyFill="1" applyBorder="1" applyAlignment="1">
      <alignment wrapText="1"/>
    </xf>
    <xf numFmtId="0" fontId="0" fillId="0" borderId="0" xfId="0" applyAlignment="1">
      <alignment horizontal="right" indent="1"/>
    </xf>
    <xf numFmtId="0" fontId="1" fillId="0" borderId="0" xfId="1" applyAlignment="1">
      <alignment horizontal="right" indent="1"/>
    </xf>
    <xf numFmtId="0" fontId="2" fillId="2" borderId="0" xfId="0" applyFont="1" applyFill="1"/>
    <xf numFmtId="0" fontId="0" fillId="2" borderId="0" xfId="0" applyFill="1"/>
    <xf numFmtId="0" fontId="0" fillId="2" borderId="0" xfId="0" applyFont="1" applyFill="1"/>
    <xf numFmtId="0" fontId="0" fillId="2" borderId="0" xfId="0" applyNumberFormat="1" applyFill="1"/>
    <xf numFmtId="0" fontId="2" fillId="7" borderId="0" xfId="2" applyFont="1" applyFill="1"/>
    <xf numFmtId="0" fontId="5" fillId="7" borderId="0" xfId="2" applyFill="1"/>
    <xf numFmtId="0" fontId="0" fillId="0" borderId="0" xfId="0" applyFont="1" applyFill="1"/>
    <xf numFmtId="0" fontId="0" fillId="0" borderId="0" xfId="0" applyFill="1"/>
    <xf numFmtId="0" fontId="0" fillId="0" borderId="0" xfId="0" applyFill="1" applyAlignment="1">
      <alignment horizontal="left"/>
    </xf>
    <xf numFmtId="0" fontId="1" fillId="0" borderId="0" xfId="1" applyFill="1"/>
    <xf numFmtId="0" fontId="0" fillId="0" borderId="0" xfId="0" applyNumberFormat="1" applyFill="1"/>
    <xf numFmtId="0" fontId="0" fillId="0" borderId="0" xfId="0" applyFill="1" applyAlignment="1"/>
    <xf numFmtId="0" fontId="0" fillId="0" borderId="0" xfId="0" applyNumberFormat="1" applyFont="1" applyFill="1"/>
    <xf numFmtId="0" fontId="5" fillId="0" borderId="0" xfId="2" applyFill="1"/>
    <xf numFmtId="0" fontId="2" fillId="0" borderId="0" xfId="0" applyFont="1" applyFill="1"/>
    <xf numFmtId="0" fontId="2" fillId="6" borderId="0" xfId="0" applyFont="1" applyFill="1"/>
    <xf numFmtId="0" fontId="6" fillId="0" borderId="0" xfId="0" quotePrefix="1" applyFont="1" applyFill="1"/>
    <xf numFmtId="0" fontId="1" fillId="0" borderId="0" xfId="1" applyAlignment="1">
      <alignment horizontal="right"/>
    </xf>
    <xf numFmtId="0" fontId="0" fillId="0" borderId="0" xfId="0" applyAlignment="1">
      <alignment horizontal="right"/>
    </xf>
    <xf numFmtId="0" fontId="1" fillId="0" borderId="0" xfId="1" applyNumberFormat="1" applyAlignment="1">
      <alignment horizontal="right"/>
    </xf>
    <xf numFmtId="0" fontId="6" fillId="0" borderId="0" xfId="0" applyFont="1" applyAlignment="1">
      <alignment wrapText="1"/>
    </xf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top" wrapText="1"/>
    </xf>
  </cellXfs>
  <cellStyles count="3">
    <cellStyle name="Hyperlink" xfId="1" builtinId="8"/>
    <cellStyle name="Neutral" xfId="2" builtinId="28"/>
    <cellStyle name="Normal" xfId="0" builtinId="0"/>
  </cellStyles>
  <dxfs count="19">
    <dxf>
      <font>
        <color theme="0"/>
      </font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right" vertical="bottom" textRotation="0" wrapText="0" indent="1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 tint="0.79998168889431442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19049</xdr:colOff>
          <xdr:row>10</xdr:row>
          <xdr:rowOff>28576</xdr:rowOff>
        </xdr:from>
        <xdr:to>
          <xdr:col>3</xdr:col>
          <xdr:colOff>1362074</xdr:colOff>
          <xdr:row>11</xdr:row>
          <xdr:rowOff>47625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4044B695-9367-45CF-ABAF-FC6026319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19049</xdr:rowOff>
        </xdr:from>
        <xdr:to>
          <xdr:col>4</xdr:col>
          <xdr:colOff>0</xdr:colOff>
          <xdr:row>7</xdr:row>
          <xdr:rowOff>247650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9525</xdr:rowOff>
        </xdr:from>
        <xdr:to>
          <xdr:col>4</xdr:col>
          <xdr:colOff>0</xdr:colOff>
          <xdr:row>10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10</xdr:row>
          <xdr:rowOff>9525</xdr:rowOff>
        </xdr:from>
        <xdr:to>
          <xdr:col>4</xdr:col>
          <xdr:colOff>857250</xdr:colOff>
          <xdr:row>10</xdr:row>
          <xdr:rowOff>180975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13</xdr:row>
          <xdr:rowOff>28575</xdr:rowOff>
        </xdr:from>
        <xdr:to>
          <xdr:col>3</xdr:col>
          <xdr:colOff>1162050</xdr:colOff>
          <xdr:row>13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19050</xdr:rowOff>
        </xdr:from>
        <xdr:to>
          <xdr:col>3</xdr:col>
          <xdr:colOff>1152525</xdr:colOff>
          <xdr:row>6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15</xdr:row>
          <xdr:rowOff>28575</xdr:rowOff>
        </xdr:from>
        <xdr:to>
          <xdr:col>3</xdr:col>
          <xdr:colOff>1162050</xdr:colOff>
          <xdr:row>15</xdr:row>
          <xdr:rowOff>180975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20</xdr:row>
          <xdr:rowOff>19050</xdr:rowOff>
        </xdr:from>
        <xdr:to>
          <xdr:col>3</xdr:col>
          <xdr:colOff>1152525</xdr:colOff>
          <xdr:row>20</xdr:row>
          <xdr:rowOff>171450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152399</xdr:colOff>
          <xdr:row>9</xdr:row>
          <xdr:rowOff>114300</xdr:rowOff>
        </xdr:from>
        <xdr:to>
          <xdr:col>3</xdr:col>
          <xdr:colOff>733424</xdr:colOff>
          <xdr:row>10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11</xdr:row>
          <xdr:rowOff>38100</xdr:rowOff>
        </xdr:from>
        <xdr:to>
          <xdr:col>3</xdr:col>
          <xdr:colOff>733425</xdr:colOff>
          <xdr:row>11</xdr:row>
          <xdr:rowOff>285750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3" removeDataOnSave="1" connectionId="2" autoFormatId="16" applyNumberFormats="0" applyBorderFormats="0" applyFontFormats="0" applyPatternFormats="0" applyAlignmentFormats="0" applyWidthHeightFormats="0">
  <queryTableRefresh nextId="5">
    <queryTableFields count="3">
      <queryTableField id="2" name="Column1.height" tableColumnId="3"/>
      <queryTableField id="3" name="Column1.currentBlockHash" tableColumnId="4"/>
      <queryTableField id="4" name="Column1.previousBlockHash" tableColumnId="5"/>
    </queryTableFields>
  </queryTableRefresh>
</queryTable>
</file>

<file path=xl/queryTables/queryTable2.xml><?xml version="1.0" encoding="utf-8"?>
<queryTable xmlns="http://schemas.openxmlformats.org/spreadsheetml/2006/main" name="ExternalData_4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3"/>
      <queryTableField id="2" name="Value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9" name="Table9" displayName="Table9" ref="D15:F151" totalsRowShown="0">
  <autoFilter ref="D15:F151"/>
  <tableColumns count="3">
    <tableColumn id="1" name="block-id" dataDxfId="7">
      <calculatedColumnFormula>MAX(CHAIN_HEIGHT-(ROW() - ROW(Table9[[#Headers],[block-id]])),-1)</calculatedColumnFormula>
    </tableColumn>
    <tableColumn id="2" name="REST URL" dataDxfId="8">
      <calculatedColumnFormula>IF( D16 &gt; -1, HYPERLINK($E$7 &amp; D16))</calculatedColumnFormula>
    </tableColumn>
    <tableColumn id="3" name="Raw Response">
      <calculatedColumnFormula>IF(D16&gt;-1, GetHypeRaw(E16,""))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3" name="CHAIN_API_CALL_RAW_RESPONSE" displayName="CHAIN_API_CALL_RAW_RESPONSE_1" ref="E16:G17" tableType="queryTable" totalsRowShown="0" headerRowDxfId="18" dataDxfId="16" headerRowBorderDxfId="17" tableBorderDxfId="15" totalsRowBorderDxfId="14">
  <autoFilter ref="E16:G17"/>
  <tableColumns count="3">
    <tableColumn id="3" uniqueName="3" name="Column1.height" queryTableFieldId="2" dataDxfId="6"/>
    <tableColumn id="4" uniqueName="4" name="Column1.currentBlockHash" queryTableFieldId="3" dataDxfId="5"/>
    <tableColumn id="5" uniqueName="5" name="Column1.previousBlockHash" queryTableFieldId="4" dataDxfId="4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chain" displayName="chain" ref="E21:F24" tableType="queryTable" totalsRowShown="0">
  <autoFilter ref="E21:F24"/>
  <tableColumns count="2">
    <tableColumn id="3" uniqueName="3" name="Name" queryTableFieldId="1" dataDxfId="3"/>
    <tableColumn id="2" uniqueName="2" name="Value" queryTableFieldId="2" dataDxfId="2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id="8" name="Table7_2" displayName="Table7_2" ref="D16:D17" insertRow="1" totalsRowShown="0" headerRowDxfId="13" dataDxfId="12">
  <autoFilter ref="D16:D17"/>
  <tableColumns count="1">
    <tableColumn id="1" name="Table7" dataDxfId="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13" name="Table13" displayName="Table13" ref="E11:H16" totalsRowCount="1">
  <autoFilter ref="E11:H15"/>
  <tableColumns count="4">
    <tableColumn id="1" name="ID" dataDxfId="10" totalsRowDxfId="9"/>
    <tableColumn id="2" name="address"/>
    <tableColumn id="3" name="type" totalsRowFunction="count"/>
    <tableColumn id="4" name="pkiID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3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893727999f2b46a78b7316cc9eaca0e3-vp0.dev.blockchain.ibm.com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p179694.aspx" TargetMode="External"/><Relationship Id="rId3" Type="http://schemas.openxmlformats.org/officeDocument/2006/relationships/hyperlink" Target="http://www.opensource.org/licenses/mit-license.php" TargetMode="External"/><Relationship Id="rId7" Type="http://schemas.openxmlformats.org/officeDocument/2006/relationships/hyperlink" Target="https://console.ng.bluemix.net/catalog/services/blockchain-hackathon/" TargetMode="External"/><Relationship Id="rId2" Type="http://schemas.openxmlformats.org/officeDocument/2006/relationships/hyperlink" Target="https://github.com/VBA-tools/VBA-JSON" TargetMode="External"/><Relationship Id="rId1" Type="http://schemas.openxmlformats.org/officeDocument/2006/relationships/hyperlink" Target="https://github.com/VBA-tools/VBA-Web" TargetMode="External"/><Relationship Id="rId6" Type="http://schemas.openxmlformats.org/officeDocument/2006/relationships/hyperlink" Target="https://console.ng.bluemix.net/catalog/" TargetMode="External"/><Relationship Id="rId11" Type="http://schemas.openxmlformats.org/officeDocument/2006/relationships/hyperlink" Target="https://github.com/hyperledger/fabric/blob/master/docs/protocol-spec.md" TargetMode="External"/><Relationship Id="rId5" Type="http://schemas.openxmlformats.org/officeDocument/2006/relationships/hyperlink" Target="https://console.ng.bluemix.net/" TargetMode="External"/><Relationship Id="rId10" Type="http://schemas.openxmlformats.org/officeDocument/2006/relationships/hyperlink" Target="https://msdn.microsoft.com/en-us/library/office/ff192913.aspx" TargetMode="External"/><Relationship Id="rId4" Type="http://schemas.openxmlformats.org/officeDocument/2006/relationships/hyperlink" Target="https://console.ng.bluemix.net/docs/services/blockchain/ibmblockchain_overview.html" TargetMode="External"/><Relationship Id="rId9" Type="http://schemas.openxmlformats.org/officeDocument/2006/relationships/hyperlink" Target="https://konklone.io/jso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E20"/>
  <sheetViews>
    <sheetView tabSelected="1" workbookViewId="0">
      <selection activeCell="D13" sqref="D13"/>
    </sheetView>
  </sheetViews>
  <sheetFormatPr defaultRowHeight="15" x14ac:dyDescent="0.25"/>
  <cols>
    <col min="1" max="2" width="2.85546875" customWidth="1"/>
    <col min="3" max="3" width="19.42578125" customWidth="1"/>
    <col min="4" max="4" width="158.140625" customWidth="1"/>
  </cols>
  <sheetData>
    <row r="2" spans="2:5" x14ac:dyDescent="0.25">
      <c r="B2" s="6" t="s">
        <v>95</v>
      </c>
      <c r="C2" s="7"/>
      <c r="D2" s="7"/>
      <c r="E2" s="7"/>
    </row>
    <row r="4" spans="2:5" x14ac:dyDescent="0.25">
      <c r="B4" s="8" t="s">
        <v>5</v>
      </c>
      <c r="C4" s="9"/>
      <c r="D4" s="9"/>
      <c r="E4" s="9"/>
    </row>
    <row r="5" spans="2:5" x14ac:dyDescent="0.25">
      <c r="B5" s="9"/>
      <c r="C5" s="26" t="s">
        <v>56</v>
      </c>
      <c r="D5" t="str">
        <f>'Block API Call'!E16</f>
        <v>https://893727999f2b46a78b7316cc9eaca0e3-vp0.dev.blockchain.ibm.com:443/chain/blocks/6</v>
      </c>
    </row>
    <row r="6" spans="2:5" x14ac:dyDescent="0.25">
      <c r="B6" s="9"/>
      <c r="D6" s="35" t="s">
        <v>117</v>
      </c>
    </row>
    <row r="7" spans="2:5" x14ac:dyDescent="0.25">
      <c r="C7" s="4"/>
    </row>
    <row r="8" spans="2:5" x14ac:dyDescent="0.25">
      <c r="C8" s="4"/>
    </row>
    <row r="9" spans="2:5" x14ac:dyDescent="0.25">
      <c r="B9" s="19" t="s">
        <v>118</v>
      </c>
      <c r="C9" s="20"/>
      <c r="D9" s="20"/>
      <c r="E9" s="20"/>
    </row>
    <row r="10" spans="2:5" x14ac:dyDescent="0.25">
      <c r="B10" s="20"/>
      <c r="C10" s="26" t="s">
        <v>54</v>
      </c>
      <c r="D10" s="40" t="str">
        <f>'Block API Call'!F16</f>
        <v xml:space="preserve">{"transactions":[{"type":1,"chaincodeID":"Cj1odHRwczovL2dpdGh1Yi5jb20vSUJNLUJsb2NrY2hhaW4vY3AtY2hhaW5jb2RlLXYyL2h5cGVybGVkZ2VyEoABYmMyNWU0Mjg2NDQ3N2ZlZWVlZGJmYjVmZWNiN2ZlYTBjNWJiYTYyN2Y5YWYyYWNmOWMxOTc0NmY3MDVlNjcxMDE5ZGQwNGMxZjdmNzI4MmY2MmE3Y2JlZmJhMTc4MGQ3OGIyNzUwN2U3NzdiMzYyMDcxM2Q3ZGYzNzEzMTQ0MmY=","payload":"Cs8BCAESwgEKPWh0dHBzOi8vZ2l0aHViLmNvbS9JQk0tQmxvY2tjaGFpbi9jcC1jaGFpbmNvZGUtdjIvaHlwZXJsZWRnZXISgAFiYzI1ZTQyODY0NDc3ZmVlZWVkYmZiNWZlY2I3ZmVhMGM1YmJhNjI3ZjlhZjJhY2Y5YzE5NzQ2ZjcwNWU2NzEwMTlkZDA0YzFmN2Y3MjgyZjYyYTdjYmVmYmExNzgwZDc4YjI3NTA3ZTc3N2IzNjIwNzEzZDdkZjM3MTMxNDQyZhoGCgRpbml0","uuid":"bc25e42864477feeeedbfb5fecb7fea0c5bba627f9af2acf9c19746f705e671019dd04c1f7f7282f62a7cbefba1780d78b27507e777b3620713d7df37131442f","timestamp":{"seconds":1478285670,"nanos":229628758},"nonce":"AFZwAAfIEqooYq9Zr1D2K09JrFUmK/9Y","cert":"MIICTzCCAfWgAwIBAgIQPhtS40uMRVCFPQyjHtt7ZTAKBggqhkjOPQQDAzApMQswCQYDVQQGEwJVUzEMMAoGA1UEChMDSUJNMQwwCgYDVQQDEwN0Y2EwHhcNMTYxMDE5MTMyOTUzWhcNMTcwMTE3MTMyOTUzWjA7MQswCQYDVQQGEwJVUzEMMAoGA1UEChMDSUJNMR4wHAYDVQQDDBVkYXNoYm9hcmR1c2VyX3R5cGUxXzAwWTATBgcqhkjOPQIBBggqhkjOPQMBBwNCAAQbjTz/RMbaXvE7Fi+DMO4oY2rq5KTkjcC5NXYrs1rA84rsEBgfcH1hrNl53O+HPGHdLr/spkW8oDnSImKZkv7Oo4HsMIHpMA4GA1UdDwEB/wQEAwIHgDAMBgNVHRMBAf8EAjAAMA0GA1UdDgQGBAQBAgMEMA8GA1UdIwQIMAaABAECAwQwTQYGKgMEBQYHAQH/BEAEOD+eB9nmfNPrp4UGFgD0PMYxxHEX0c9EPb/KAtiShq2HjZRN+RkoIUH01x6IvQI1r+1ExdEyruoPT35VsDbAMFoGBioDBAUGCARQ/DeWPD96WHUvRjpEgIuosAZX4vTX6wph+IpaVcQpG9EuUpcPAHa3RcujinmuHsnMgl1BA6dLc2vNfwsLeAlyamiVKgKwnq8Eg+g3uBZTiOAwCgYIKoZIzj0EAwMDSAAwRQIgLZb99kDopTJR8cdGeoMbskqS0QfTxnZ8ZXKHEXzs9fcCIQC6ns9cHnQ7A9R2dQXdM4b7JJk1k8TELpopGv79apE9fg==","signature":"MEUCIQD6wweGfrLogS8NuSM6Jp3fMCax/feQrnwTyNC+URT5uAIgJ98m/V/U2fjWX5EJB7Oa9ZBkJ5/9T66nwLR/J6NuX9E="}],"stateHash":"wM9mD29ohpWpZlqdx/xBPiu9xpvsxTfZ76f85lOSOZr8sig/1y/AGSNeidRTMxdH9l10NliXUzclcj78IYtwJw==","previousBlockHash":"HIbTI1lVe9W8dHgzyBr2WX0qSasY+fkvndpWrOXKZAwjL3ybAMnKL1OTLA37MUsMUqd7iIVC79os1MktHcn9pA==","consensusMetadata":"CAY=","nonHashData":{"localLedgerCommitTimestamp":{"seconds":1478285671,"nanos":638482767},"transactionResults":[{"uuid":"bc25e42864477feeeedbfb5fecb7fea0c5bba627f9af2acf9c19746f705e671019dd04c1f7f7282f62a7cbefba1780d78b27507e777b3620713d7df37131442f","errorCode":1,"error":"Failed to deploy chaincode spec(deploy attempted but a chaincode with same name running bc25e42864477feeeedbfb5fecb7fea0c5bba627f9af2acf9c19746f705e671019dd04c1f7f7282f62a7cbefba1780d78b27507e777b3620713d7df37131442f)"}]}}
</v>
      </c>
    </row>
    <row r="11" spans="2:5" x14ac:dyDescent="0.25">
      <c r="B11" s="20"/>
      <c r="C11" s="26"/>
      <c r="D11" s="41"/>
    </row>
    <row r="12" spans="2:5" ht="25.5" customHeight="1" x14ac:dyDescent="0.25">
      <c r="B12" s="20"/>
      <c r="C12" s="26"/>
      <c r="D12" s="41"/>
    </row>
    <row r="13" spans="2:5" ht="236.25" customHeight="1" x14ac:dyDescent="0.25">
      <c r="B13" s="20"/>
      <c r="C13" s="1" t="s">
        <v>122</v>
      </c>
      <c r="D13" s="42" t="str">
        <f>GetHypePrettyPrinted(D5, "")</f>
        <v>HTTP status code: 200_x000D_
HTTP status description: OK_x000D_
HTTP response content: _x000D_
{_x000D_
  "transactions": [_x000D_
    {_x000D_
      "type": 1,_x000D_
      "chaincodeID": "Cj1odHRwczovL2dpdGh1Yi5jb20vSUJNLUJsb2NrY2hhaW4vY3AtY2hhaW5jb2RlLXYyL2h5cGVybGVkZ2VyEoABYmMyNWU0Mjg2NDQ3N2ZlZWVlZGJmYjVmZWNiN2ZlYTBjNWJiYTYyN2Y5YWYyYWNmOWMxOTc0NmY3MDVlNjcxMDE5ZGQwNGMxZjdmNzI4MmY2MmE3Y2JlZmJhMTc4MGQ3OGIyNzUwN2U3NzdiMzYyMDcxM2Q3ZGYzNzEzMTQ0MmY=",_x000D_
      "payload": "Cs8BCAESwgEKPWh0dHBzOi8vZ2l0aHViLmNvbS9JQk0tQmxvY2tjaGFpbi9jcC1jaGFpbmNvZGUtdjIvaHlwZXJsZWRnZXISgAFiYzI1ZTQyODY0NDc3ZmVlZWVkYmZiNWZlY2I3ZmVhMGM1YmJhNjI3ZjlhZjJhY2Y5YzE5NzQ2ZjcwNWU2NzEwMTlkZDA0YzFmN2Y3MjgyZjYyYTdjYmVmYmExNzgwZDc4YjI3NTA3ZTc3N2IzNjIwNzEzZDdkZjM3MTMxNDQyZhoGCgRpbml0",_x000D_
      "uuid": "bc25e42864477feeeedbfb5fecb7fea0c5bba627f9af2acf9c19746f705e671019dd04c1f7f7282f62a7cbefba1780d78b27507e777b3620713d7df37131442f",_x000D_
      "timestamp": {_x000D_
        "seconds": 1478285670,_x000D_
        "nanos": 229628758_x000D_
      },_x000D_
      "nonce": "AFZwAAfIEqooYq9Zr1D2K09JrFUmK/9Y",_x000D_
      "cert": "MIICTzCCAfWgAwIBAgIQPhtS40uMRVCFPQyjHtt7ZTAKBggqhkjOPQQDAzApMQswCQYDVQQGEwJVUzEMMAoGA1UEChMDSUJNMQwwCgYDVQQDEwN0Y2EwHhcNMTYxMDE5MTMyOTUzWhcNMTcwMTE3MTMyOTUzWjA7MQswCQYDVQQGEwJVUzEMMAoGA1UEChMDSUJNMR4wHAYDVQQDDBVkYXNoYm9hcmR1c2VyX3R5cGUxXzAwWTATBgcqhkjOPQIBBggqhkjOPQMBBwNCAAQbjTz/RMbaXvE7Fi+DMO4oY2rq5KTkjcC5NXYrs1rA84rsEBgfcH1hrNl53O+HPGHdLr/spkW8oDnSImKZkv7Oo4HsMIHpMA4GA1UdDwEB/wQEAwIHgDAMBgNVHRMBAf8EAjAAMA0GA1UdDgQGBAQBAgMEMA8GA1UdIwQIMAaABAECAwQwTQYGKgMEBQYHAQH/BEAEOD+eB9nmfNPrp4UGFgD0PMYxxHEX0c9EPb/KAtiShq2HjZRN+RkoIUH01x6IvQI1r+1ExdEyruoPT35VsDbAMFoGBioDBAUGCARQ/DeWPD96WHUvRjpEgIuosAZX4vTX6wph+IpaVcQpG9EuUpcPAHa3RcujinmuHsnMgl1BA6dLc2vNfwsLeAlyamiVKgKwnq8Eg+g3uBZTiOAwCgYIKoZIzj0EAwMDSAAwRQIgLZb99kDopTJR8cdGeoMbskqS0QfTxnZ8ZXKHEXzs9fcCIQC6ns9cHnQ7A9R2dQXdM4b7JJk1k8TELpopGv79apE9fg==",_x000D_
      "signature": "MEUCIQD6wweGfrLogS8NuSM6Jp3fMCax/feQrnwTyNC+URT5uAIgJ98m/V/U2fjWX5EJB7Oa9ZBkJ5/9T66nwLR/J6NuX9E="_x000D_
    }_x000D_
  ],_x000D_
  "stateHash": "wM9mD29ohpWpZlqdx/xBPiu9xpvsxTfZ76f85lOSOZr8sig/1y/AGSNeidRTMxdH9l10NliXUzclcj78IYtwJw==",_x000D_
  "previousBlockHash": "HIbTI1lVe9W8dHgzyBr2WX0qSasY+fkvndpWrOXKZAwjL3ybAMnKL1OTLA37MUsMUqd7iIVC79os1MktHcn9pA==",_x000D_
  "consensusMetadata": "CAY=",_x000D_
  "nonHashData": {_x000D_
    "localLedgerCommitTimestamp": {_x000D_
      "seconds": 1478285671,_x000D_
      "nanos": 638482767_x000D_
    },_x000D_
    "transactionResults": [_x000D_
      {_x000D_
        "uuid": "bc25e42864477feeeedbfb5fecb7fea0c5bba627f9af2acf9c19746f705e671019dd04c1f7f7282f62a7cbefba1780d78b27507e777b3620713d7df37131442f",_x000D_
        "errorCode": 1,_x000D_
        "error": "Failed to deploy chaincode spec(deploy attempted but a chaincode with same name running bc25e42864477feeeedbfb5fecb7fea0c5bba627f9af2acf9c19746f705e671019dd04c1f7f7282f62a7cbefba1780d78b27507e777b3620713d7df37131442f)"_x000D_
      }_x000D_
    ]_x000D_
  }_x000D_
}</v>
      </c>
    </row>
    <row r="14" spans="2:5" x14ac:dyDescent="0.25">
      <c r="B14" s="20"/>
    </row>
    <row r="15" spans="2:5" x14ac:dyDescent="0.25">
      <c r="B15" s="20"/>
    </row>
    <row r="16" spans="2:5" x14ac:dyDescent="0.25">
      <c r="B16" s="20"/>
    </row>
    <row r="17" spans="2:2" x14ac:dyDescent="0.25">
      <c r="B17" s="20"/>
    </row>
    <row r="18" spans="2:2" x14ac:dyDescent="0.25">
      <c r="B18" s="20"/>
    </row>
    <row r="19" spans="2:2" x14ac:dyDescent="0.25">
      <c r="B19" s="20"/>
    </row>
    <row r="20" spans="2:2" x14ac:dyDescent="0.25">
      <c r="B20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lock_Details_Parsed_C2C_B_1_Click">
                <anchor moveWithCells="1">
                  <from>
                    <xdr:col>3</xdr:col>
                    <xdr:colOff>19050</xdr:colOff>
                    <xdr:row>10</xdr:row>
                    <xdr:rowOff>28575</xdr:rowOff>
                  </from>
                  <to>
                    <xdr:col>3</xdr:col>
                    <xdr:colOff>1362075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F152"/>
  <sheetViews>
    <sheetView zoomScaleNormal="100" workbookViewId="0">
      <pane xSplit="4" ySplit="15" topLeftCell="E16" activePane="bottomRight" state="frozen"/>
      <selection pane="topRight" activeCell="E1" sqref="E1"/>
      <selection pane="bottomLeft" activeCell="A15" sqref="A15"/>
      <selection pane="bottomRight" activeCell="F2" sqref="F2"/>
    </sheetView>
  </sheetViews>
  <sheetFormatPr defaultRowHeight="15" x14ac:dyDescent="0.25"/>
  <cols>
    <col min="1" max="1" width="2.42578125" customWidth="1"/>
    <col min="2" max="2" width="2.85546875" customWidth="1"/>
    <col min="3" max="3" width="12.28515625" customWidth="1"/>
    <col min="4" max="4" width="10.42578125" bestFit="1" customWidth="1"/>
    <col min="5" max="5" width="15.28515625" customWidth="1"/>
    <col min="6" max="6" width="143.42578125" customWidth="1"/>
  </cols>
  <sheetData>
    <row r="2" spans="2:6" x14ac:dyDescent="0.25">
      <c r="B2" s="6" t="s">
        <v>95</v>
      </c>
      <c r="C2" s="7"/>
      <c r="D2" s="7"/>
      <c r="E2" s="7"/>
      <c r="F2" s="7"/>
    </row>
    <row r="4" spans="2:6" x14ac:dyDescent="0.25">
      <c r="B4" s="8" t="s">
        <v>5</v>
      </c>
      <c r="C4" s="9"/>
      <c r="D4" s="9"/>
      <c r="E4" s="9"/>
      <c r="F4" s="9"/>
    </row>
    <row r="5" spans="2:6" x14ac:dyDescent="0.25">
      <c r="B5" s="9"/>
      <c r="C5" s="25" t="s">
        <v>55</v>
      </c>
      <c r="D5" s="26"/>
      <c r="E5" s="27" t="s">
        <v>4</v>
      </c>
      <c r="F5" s="26"/>
    </row>
    <row r="6" spans="2:6" x14ac:dyDescent="0.25">
      <c r="B6" s="9"/>
      <c r="C6" s="25" t="s">
        <v>6</v>
      </c>
      <c r="D6" s="26"/>
      <c r="E6" s="26" t="s">
        <v>82</v>
      </c>
      <c r="F6" s="26"/>
    </row>
    <row r="7" spans="2:6" x14ac:dyDescent="0.25">
      <c r="B7" s="9"/>
      <c r="C7" s="26" t="s">
        <v>56</v>
      </c>
      <c r="D7" s="26"/>
      <c r="E7" s="28" t="str">
        <f>HYPERLINK(BASE_URL &amp; E6)</f>
        <v>https://893727999f2b46a78b7316cc9eaca0e3-vp0.dev.blockchain.ibm.com:443/chain/blocks/</v>
      </c>
      <c r="F7" s="26"/>
    </row>
    <row r="8" spans="2:6" ht="21" customHeight="1" x14ac:dyDescent="0.25">
      <c r="C8" s="4"/>
    </row>
    <row r="9" spans="2:6" ht="21" customHeight="1" x14ac:dyDescent="0.25">
      <c r="C9" s="4"/>
    </row>
    <row r="10" spans="2:6" x14ac:dyDescent="0.25">
      <c r="B10" s="19" t="s">
        <v>111</v>
      </c>
      <c r="C10" s="20"/>
      <c r="D10" s="20"/>
      <c r="E10" s="20"/>
      <c r="F10" s="20"/>
    </row>
    <row r="11" spans="2:6" x14ac:dyDescent="0.25">
      <c r="B11" s="19"/>
      <c r="C11" s="26"/>
      <c r="D11" s="26"/>
      <c r="E11" s="26"/>
      <c r="F11" s="26"/>
    </row>
    <row r="12" spans="2:6" x14ac:dyDescent="0.25">
      <c r="B12" s="20"/>
      <c r="C12" s="26" t="s">
        <v>85</v>
      </c>
      <c r="D12" s="26">
        <f>CHAIN_HEIGHT</f>
        <v>7</v>
      </c>
      <c r="E12" s="35" t="s">
        <v>112</v>
      </c>
      <c r="F12" s="26"/>
    </row>
    <row r="13" spans="2:6" x14ac:dyDescent="0.25">
      <c r="B13" s="20"/>
      <c r="C13" s="26" t="s">
        <v>86</v>
      </c>
      <c r="D13" s="26">
        <v>0</v>
      </c>
      <c r="E13" s="26"/>
      <c r="F13" s="26"/>
    </row>
    <row r="14" spans="2:6" x14ac:dyDescent="0.25">
      <c r="B14" s="20"/>
      <c r="C14" s="26"/>
      <c r="D14" s="26"/>
      <c r="E14" s="26"/>
      <c r="F14" s="26"/>
    </row>
    <row r="15" spans="2:6" x14ac:dyDescent="0.25">
      <c r="B15" s="20"/>
      <c r="C15" s="26"/>
      <c r="D15" t="s">
        <v>81</v>
      </c>
      <c r="E15" t="s">
        <v>84</v>
      </c>
      <c r="F15" t="s">
        <v>54</v>
      </c>
    </row>
    <row r="16" spans="2:6" x14ac:dyDescent="0.25">
      <c r="B16" s="20"/>
      <c r="C16" s="26"/>
      <c r="D16" s="17">
        <f>MAX(CHAIN_HEIGHT-(ROW() - ROW(Table9[[#Headers],[block-id]])),-1)</f>
        <v>6</v>
      </c>
      <c r="E16" s="36" t="str">
        <f>IF( D16 &gt; -1, HYPERLINK($E$7 &amp; D16))</f>
        <v>https://893727999f2b46a78b7316cc9eaca0e3-vp0.dev.blockchain.ibm.com:443/chain/blocks/6</v>
      </c>
      <c r="F16" t="str">
        <f>IF(D16&gt;-1, GetHypeRaw(E16,""))</f>
        <v xml:space="preserve">{"transactions":[{"type":1,"chaincodeID":"Cj1odHRwczovL2dpdGh1Yi5jb20vSUJNLUJsb2NrY2hhaW4vY3AtY2hhaW5jb2RlLXYyL2h5cGVybGVkZ2VyEoABYmMyNWU0Mjg2NDQ3N2ZlZWVlZGJmYjVmZWNiN2ZlYTBjNWJiYTYyN2Y5YWYyYWNmOWMxOTc0NmY3MDVlNjcxMDE5ZGQwNGMxZjdmNzI4MmY2MmE3Y2JlZmJhMTc4MGQ3OGIyNzUwN2U3NzdiMzYyMDcxM2Q3ZGYzNzEzMTQ0MmY=","payload":"Cs8BCAESwgEKPWh0dHBzOi8vZ2l0aHViLmNvbS9JQk0tQmxvY2tjaGFpbi9jcC1jaGFpbmNvZGUtdjIvaHlwZXJsZWRnZXISgAFiYzI1ZTQyODY0NDc3ZmVlZWVkYmZiNWZlY2I3ZmVhMGM1YmJhNjI3ZjlhZjJhY2Y5YzE5NzQ2ZjcwNWU2NzEwMTlkZDA0YzFmN2Y3MjgyZjYyYTdjYmVmYmExNzgwZDc4YjI3NTA3ZTc3N2IzNjIwNzEzZDdkZjM3MTMxNDQyZhoGCgRpbml0","uuid":"bc25e42864477feeeedbfb5fecb7fea0c5bba627f9af2acf9c19746f705e671019dd04c1f7f7282f62a7cbefba1780d78b27507e777b3620713d7df37131442f","timestamp":{"seconds":1478285670,"nanos":229628758},"nonce":"AFZwAAfIEqooYq9Zr1D2K09JrFUmK/9Y","cert":"MIICTzCCAfWgAwIBAgIQPhtS40uMRVCFPQyjHtt7ZTAKBggqhkjOPQQDAzApMQswCQYDVQQGEwJVUzEMMAoGA1UEChMDSUJNMQwwCgYDVQQDEwN0Y2EwHhcNMTYxMDE5MTMyOTUzWhcNMTcwMTE3MTMyOTUzWjA7MQswCQYDVQQGEwJVUzEMMAoGA1UEChMDSUJNMR4wHAYDVQQDDBVkYXNoYm9hcmR1c2VyX3R5cGUxXzAwWTATBgcqhkjOPQIBBggqhkjOPQMBBwNCAAQbjTz/RMbaXvE7Fi+DMO4oY2rq5KTkjcC5NXYrs1rA84rsEBgfcH1hrNl53O+HPGHdLr/spkW8oDnSImKZkv7Oo4HsMIHpMA4GA1UdDwEB/wQEAwIHgDAMBgNVHRMBAf8EAjAAMA0GA1UdDgQGBAQBAgMEMA8GA1UdIwQIMAaABAECAwQwTQYGKgMEBQYHAQH/BEAEOD+eB9nmfNPrp4UGFgD0PMYxxHEX0c9EPb/KAtiShq2HjZRN+RkoIUH01x6IvQI1r+1ExdEyruoPT35VsDbAMFoGBioDBAUGCARQ/DeWPD96WHUvRjpEgIuosAZX4vTX6wph+IpaVcQpG9EuUpcPAHa3RcujinmuHsnMgl1BA6dLc2vNfwsLeAlyamiVKgKwnq8Eg+g3uBZTiOAwCgYIKoZIzj0EAwMDSAAwRQIgLZb99kDopTJR8cdGeoMbskqS0QfTxnZ8ZXKHEXzs9fcCIQC6ns9cHnQ7A9R2dQXdM4b7JJk1k8TELpopGv79apE9fg==","signature":"MEUCIQD6wweGfrLogS8NuSM6Jp3fMCax/feQrnwTyNC+URT5uAIgJ98m/V/U2fjWX5EJB7Oa9ZBkJ5/9T66nwLR/J6NuX9E="}],"stateHash":"wM9mD29ohpWpZlqdx/xBPiu9xpvsxTfZ76f85lOSOZr8sig/1y/AGSNeidRTMxdH9l10NliXUzclcj78IYtwJw==","previousBlockHash":"HIbTI1lVe9W8dHgzyBr2WX0qSasY+fkvndpWrOXKZAwjL3ybAMnKL1OTLA37MUsMUqd7iIVC79os1MktHcn9pA==","consensusMetadata":"CAY=","nonHashData":{"localLedgerCommitTimestamp":{"seconds":1478285671,"nanos":638482767},"transactionResults":[{"uuid":"bc25e42864477feeeedbfb5fecb7fea0c5bba627f9af2acf9c19746f705e671019dd04c1f7f7282f62a7cbefba1780d78b27507e777b3620713d7df37131442f","errorCode":1,"error":"Failed to deploy chaincode spec(deploy attempted but a chaincode with same name running bc25e42864477feeeedbfb5fecb7fea0c5bba627f9af2acf9c19746f705e671019dd04c1f7f7282f62a7cbefba1780d78b27507e777b3620713d7df37131442f)"}]}}
</v>
      </c>
    </row>
    <row r="17" spans="2:6" x14ac:dyDescent="0.25">
      <c r="B17" s="20"/>
      <c r="C17" s="26"/>
      <c r="D17" s="17">
        <f>MAX(CHAIN_HEIGHT-(ROW() - ROW(Table9[[#Headers],[block-id]])),-1)</f>
        <v>5</v>
      </c>
      <c r="E17" s="36" t="str">
        <f>IF( D17 &gt; -1, HYPERLINK($E$7 &amp; D17))</f>
        <v>https://893727999f2b46a78b7316cc9eaca0e3-vp0.dev.blockchain.ibm.com:443/chain/blocks/5</v>
      </c>
      <c r="F17" t="str">
        <f>IF(D17&gt;-1, GetHypeRaw(E17,""))</f>
        <v xml:space="preserve">{"transactions":[{"type":1,"chaincodeID":"CkVodHRwczovL2dpdGh1Yi5jb20vaWJtLWJsb2NrY2hhaW4vbWFyYmxlcy1jaGFpbmNvZGUvaHlwZXJsZWRnZXIvcGFydDISgAFkODI3ZGIwMDliY2JmZDg0MGIyMTk3MzQ1ZDg3OGE2ZmFkMDNmMzc1ZTdkNjE5MWY3ZWQxMmUxNjlmMjNlZTNjOWJhYWEwMmQwNmQzYzZiZjMwYjI5YTYyMWMwMzQ1YmJhZDkwY2IwNDhmYmNhY2MwOTQ5YmNmMjkxNjgwNjVkZQ==","payload":"Ct4BCAESygEKRWh0dHBzOi8vZ2l0aHViLmNvbS9pYm0tYmxvY2tjaGFpbi9tYXJibGVzLWNoYWluY29kZS9oeXBlcmxlZGdlci9wYXJ0MhKAAWQ4MjdkYjAwOWJjYmZkODQwYjIxOTczNDVkODc4YTZmYWQwM2YzNzVlN2Q2MTkxZjdlZDEyZTE2OWYyM2VlM2M5YmFhYTAyZDA2ZDNjNmJmMzBiMjlhNjIxYzAzNDViYmFkOTBjYjA0OGZiY2FjYzA5NDliY2YyOTE2ODA2NWRlGg0KBGluaXQSBTEyMzQ1","uuid":"d827db009bcbfd840b2197345d878a6fad03f375e7d6191f7ed12e169f23ee3c9baaa02d06d3c6bf30b29a621c0345bbad90cb048fbcacc0949bcf29168065de","timestamp":{"seconds":1476884899,"nanos":172359899},"nonce":"LoDUw93KArMQDRLvKPq14ZPNQpAL7lWi","cert":"MIICUDCCAfagAwIBAgIRAKF69LAIKEb4rxKvN/VCdkYwCgYIKoZIzj0EAwMwKTELMAkGA1UEBhMCVVMxDDAKBgNVBAoTA0lCTTEMMAoGA1UEAxMDdGNhMB4XDTE2MTAxOTEzMjk1M1oXDTE3MDExNzEzMjk1M1owOzELMAkGA1UEBhMCVVMxDDAKBgNVBAoTA0lCTTEeMBwGA1UEAwwVZGFzaGJvYXJkdXNlcl90eXBlMV8wMFkwEwYHKoZIzj0CAQYIKoZIzj0DAQcDQgAECSgsUseNWAAiKEYNO+RYmmezkOMsg00RmAQPdeDyIjuaeGQLPUngzzFbyxyJOLXJUnd22jysFTVzr5x1ZiSGRaOB7DCB6TAOBgNVHQ8BAf8EBAMCB4AwDAYDVR0TAQH/BAIwADANBgNVHQ4EBgQEAQIDBDAPBgNVHSMECDAGgAQBAgMEME0GBioDBAUGBwEB/wRAW4yyfqRB6IcFE9e8uEGeClLcnI8chu8ceXmLJO2RvXYEMqgFK5KFYFvN+UcZ/lK28xwvEcG7VQu2Fn0/azlkwDBaBgYqAwQFBggEUACiWLxY63sgWo5cUAWOMuLwMwmGnFzmo3Z0rFldHqEeZVHLG9Ml1WGNqg1YYTfc0VNQdS44Ii5F1iRLxqrnIwP9x35QrDTbwZ3hjxhS1OUtMAoGCCqGSM49BAMDA0gAMEUCIQCaj80/m4O+3oRfpQFrp+aGB5QNPgZ4d0tLD7iPUG9laAIgbBdhAeeIfZa7Ti952AR/eXOGHOra/xmpzGhUU+eH4CI=","signature":"MEUCIBDlt2FGlk8gYdfBgl0arRt5yZmYauIScrlu9MeiVJHCAiEA6X/6FefrMPXQjBpLdf/4BbKhyrtrYw8BIFH4DQA/ZjM="}],"stateHash":"wM9mD29ohpWpZlqdx/xBPiu9xpvsxTfZ76f85lOSOZr8sig/1y/AGSNeidRTMxdH9l10NliXUzclcj78IYtwJw==","previousBlockHash":"RbskyKy25PUC2iGDnCUrlVh7OLB4RQfLkR+9DcUEEw53RXb43ZRma/mDffn+SqKu970B9xbPpXPj6UE0mj5tWQ==","consensusMetadata":"CAU=","nonHashData":{"localLedgerCommitTimestamp":{"seconds":1476884903,"nanos":690677766},"transactionResults":[{"uuid":"d827db009bcbfd840b2197345d878a6fad03f375e7d6191f7ed12e169f23ee3c9baaa02d06d3c6bf30b29a621c0345bbad90cb048fbcacc0949bcf29168065de"}]}}
</v>
      </c>
    </row>
    <row r="18" spans="2:6" x14ac:dyDescent="0.25">
      <c r="B18" s="20"/>
      <c r="C18" s="26"/>
      <c r="D18" s="17">
        <f>MAX(CHAIN_HEIGHT-(ROW() - ROW(Table9[[#Headers],[block-id]])),-1)</f>
        <v>4</v>
      </c>
      <c r="E18" s="36" t="str">
        <f>IF( D18 &gt; -1, HYPERLINK($E$7 &amp; D18))</f>
        <v>https://893727999f2b46a78b7316cc9eaca0e3-vp0.dev.blockchain.ibm.com:443/chain/blocks/4</v>
      </c>
      <c r="F18" t="str">
        <f>IF(D18&gt;-1, GetHypeRaw(E18,""))</f>
        <v xml:space="preserve">{"transactions":[{"type":2,"chaincodeID":"EoABNzJjM2MzOTU3MDdiZTdkYTZlMjY4NDFiYjk0NzVlYzk2YWMwNjY4N2NkZjVlYTU1Nzk2MjAyODAxZTY1OGQwYmFmZTI1NzEwOWVjN2VlYmQxODE0Y2E1Yzc2YjhiZTVmMDNkMzIzM2I3MDRmZDI5N2U4ZmNiODFkYmFiNzMwNWU=","payload":"CpsBCAESgwESgAE3MmMzYzM5NTcwN2JlN2RhNmUyNjg0MWJiOTQ3NWVjOTZhYzA2Njg3Y2RmNWVhNTU3OTYyMDI4MDFlNjU4ZDBiYWZlMjU3MTA5ZWM3ZWViZDE4MTRjYTVjNzZiOGJlNWYwM2QzMjMzYjcwNGZkMjk3ZThmY2I4MWRiYWI3MzA1ZRoRCgZpbnZva2USAWESAWISATU=","uuid":"66bd452d-e546-454f-882d-fa6816dc6f4c","timestamp":{"seconds":1476884721,"nanos":305626498},"nonce":"XO1g0m0duOkcCSV0BysRSvKOLDb8++Zk","cert":"MIICTjCCAfWgAwIBAgIQHOj7gbhXTYu3XUY4o5hFOjAKBggqhkjOPQQDAzApMQswCQYDVQQGEwJVUzEMMAoGA1UEChMDSUJNMQwwCgYDVQQDEwN0Y2EwHhcNMTYxMDE5MTMyOTUzWhcNMTcwMTE3MTMyOTUzWjA7MQswCQYDVQQGEwJVUzEMMAoGA1UEChMDSUJNMR4wHAYDVQQDDBVkYXNoYm9hcmR1c2VyX3R5cGUxXzAwWTATBgcqhkjOPQIBBggqhkjOPQMBBwNCAAQ624dMSpRXO2sXYlVNVyNi0IhJBrTMVQpnIByuEbqKDsCVkzs1rKXo3DE0o0OseI9VEHSmO+fIXa2uXbYoQ30Ho4HsMIHpMA4GA1UdDwEB/wQEAwIHgDAMBgNVHRMBAf8EAjAAMA0GA1UdDgQGBAQBAgMEMA8GA1UdIwQIMAaABAECAwQwTQYGKgMEBQYHAQH/BEDnQ0D26VxDUddZw9BpuGjiqis4vsTQNdqIK4LMejHn7mXsurXKQJFzePPLYqZ1giEdzIRNCmtxcVmnhnF/oDISMFoGBioDBAUGCARQYrI0oHeRbHS+KPCNAXpDq9yNc5z5kZbYPFntTuaVCRztx5392tb73DjTl6owiQbXHysyunRmjpyqPP40l4BKjZVL0GlXk+TW5JaXG8TSVVYwCgYIKoZIzj0EAwMDRwAwRAIgSDub509wyRCzBhPFPbQTw241gbbWvofVHzwIpIhbs58CIF6HzZEa/alD3NboBbOy6EM/yVc7f/ZwwFBUjxeBZ7Qm","signature":"MEYCIQDUjRLzPHCGKcUgH7HT1waHjB6xlm6UpHWXwOVRPciPKwIhAPEfuJi6YhXsUSBjeFE/Gn9Cg5zLD4MshaYwD3yzc52s"}],"stateHash":"nWVPpGTRkRG6wRdEllR9GFvsornEiBZ2RVpnYnoUPDPSESXnnFygfP7IquBtPz9c043oMRaTyZlkFsFd16Dx7g==","previousBlockHash":"H03uZMiaXBbTbo4RmCa/ZLaLcqCseU5kDtcVObEEiyym8pJmwrv4mo/nqEr0BVklzNKvHV1BxvALJ4KshozNBA==","consensusMetadata":"CAQ=","nonHashData":{"localLedgerCommitTimestamp":{"seconds":1476884722,"nanos":329342139},"transactionResults":[{"uuid":"66bd452d-e546-454f-882d-fa6816dc6f4c"}]}}
</v>
      </c>
    </row>
    <row r="19" spans="2:6" x14ac:dyDescent="0.25">
      <c r="B19" s="20"/>
      <c r="C19" s="26"/>
      <c r="D19" s="17">
        <f>MAX(CHAIN_HEIGHT-(ROW() - ROW(Table9[[#Headers],[block-id]])),-1)</f>
        <v>3</v>
      </c>
      <c r="E19" s="36" t="str">
        <f>IF( D19 &gt; -1, HYPERLINK($E$7 &amp; D19))</f>
        <v>https://893727999f2b46a78b7316cc9eaca0e3-vp0.dev.blockchain.ibm.com:443/chain/blocks/3</v>
      </c>
      <c r="F19" t="str">
        <f>IF(D19&gt;-1, GetHypeRaw(E19,""))</f>
        <v xml:space="preserve">{"transactions":[{"type":2,"chaincodeID":"EoABNzJjM2MzOTU3MDdiZTdkYTZlMjY4NDFiYjk0NzVlYzk2YWMwNjY4N2NkZjVlYTU1Nzk2MjAyODAxZTY1OGQwYmFmZTI1NzEwOWVjN2VlYmQxODE0Y2E1Yzc2YjhiZTVmMDNkMzIzM2I3MDRmZDI5N2U4ZmNiODFkYmFiNzMwNWU=","payload":"CpsBCAESgwESgAE3MmMzYzM5NTcwN2JlN2RhNmUyNjg0MWJiOTQ3NWVjOTZhYzA2Njg3Y2RmNWVhNTU3OTYyMDI4MDFlNjU4ZDBiYWZlMjU3MTA5ZWM3ZWViZDE4MTRjYTVjNzZiOGJlNWYwM2QzMjMzYjcwNGZkMjk3ZThmY2I4MWRiYWI3MzA1ZRoRCgZpbnZva2USAWISAWESATU=","uuid":"b0764265-761b-4232-ab05-571eb1175874","timestamp":{"seconds":1476884627,"nanos":589676226},"nonce":"V+AU7p8QlbI5zZSgsvEHAGlQuu3l8oLq","cert":"MIICTzCCAfWgAwIBAgIQYAGRVXSzRUK7/y7f6uOrxjAKBggqhkjOPQQDAzApMQswCQYDVQQGEwJVUzEMMAoGA1UEChMDSUJNMQwwCgYDVQQDEwN0Y2EwHhcNMTYxMDE5MTMyOTUzWhcNMTcwMTE3MTMyOTUzWjA7MQswCQYDVQQGEwJVUzEMMAoGA1UEChMDSUJNMR4wHAYDVQQDDBVkYXNoYm9hcmR1c2VyX3R5cGUxXzAwWTATBgcqhkjOPQIBBggqhkjOPQMBBwNCAARBJ+CWnAk7cidH+ryiQtCgtbGnB+heZVYwsKLZhjFs7qsyUmO1IzNUR13VaVPIZmnYLX4SYOAw/wI3Dxh3W07+o4HsMIHpMA4GA1UdDwEB/wQEAwIHgDAMBgNVHRMBAf8EAjAAMA0GA1UdDgQGBAQBAgMEMA8GA1UdIwQIMAaABAECAwQwTQYGKgMEBQYHAQH/BECgyooxBco+KweW6YDse3oNI+6gCEX3nepA8PgYW6GzrGc0WoSFc9dmSGAB5A1+5qIvxQl9n2LLNcbqvI2YEP2CMFoGBioDBAUGCARQLgdKHTbvWV+mtTS/EKDtZ7FGJubI4cSCZoWzoZ6ciaXWhx7rOrrjIONW9efvmUEFjkmnfbhkXnRq6QAxOx05X7nc1D2QVItcBJ/gbYAT5yYwCgYIKoZIzj0EAwMDSAAwRQIhAJ3iUJIb5ngLa4juOthop0LHde7ja2U+PS3NLfSIM/F2AiAxhFxaNK3JcqGYLAy1rxQ8cxzLLwDzIlrLXa8E/zjqFg==","signature":"MEQCIBvn2U50d3nFGg5+53CQ6Efg4teDkLxNgGE6UJEEknKpAiBCJi1eQDtI+zecjBNlbVZ6OvfZAwvN6epJJOl3duM5Hg=="}],"stateHash":"8SoUGLs5o8BtDs9ti4oANtek1X4/IwEmj5aHellXL9UVdSIu1r9HVCNNH13UfwnUQoOAz1bEC941lXb57iaSiQ==","previousBlockHash":"5u/ke+RmsdJ5yhRs0ZuoLBR80Ze0kGWGBSNCYj5wnFVs7qljHPidql0ZZsY7PLzFY5PvYMhYABdaMVzlSKdJsg==","consensusMetadata":"CAM=","nonHashData":{"localLedgerCommitTimestamp":{"seconds":1476884628,"nanos":606095247},"transactionResults":[{"uuid":"b0764265-761b-4232-ab05-571eb1175874"}]}}
</v>
      </c>
    </row>
    <row r="20" spans="2:6" x14ac:dyDescent="0.25">
      <c r="B20" s="20"/>
      <c r="C20" s="26"/>
      <c r="D20" s="17">
        <f>MAX(CHAIN_HEIGHT-(ROW() - ROW(Table9[[#Headers],[block-id]])),-1)</f>
        <v>2</v>
      </c>
      <c r="E20" s="36" t="str">
        <f>IF( D20 &gt; -1, HYPERLINK($E$7 &amp; D20))</f>
        <v>https://893727999f2b46a78b7316cc9eaca0e3-vp0.dev.blockchain.ibm.com:443/chain/blocks/2</v>
      </c>
      <c r="F20" t="str">
        <f>IF(D20&gt;-1, GetHypeRaw(E20,""))</f>
        <v xml:space="preserve">{"transactions":[{"type":1,"chaincodeID":"CkpodHRwczovL2dpdGh1Yi5jb20vbWFzdGVyRGV2MTk4NS9oeXBlcmxlZGdlcl9jaGFpbmNvZGUvY2hhaW5jb2RlX2V4YW1wbGUwMhKAATcyYzNjMzk1NzA3YmU3ZGE2ZTI2ODQxYmI5NDc1ZWM5NmFjMDY2ODdjZGY1ZWE1NTc5NjIwMjgwMWU2NThkMGJhZmUyNTcxMDllYzdlZWJkMTgxNGNhNWM3NmI4YmU1ZjAzZDMyMzNiNzA0ZmQyOTdlOGZjYjgxZGJhYjczMDVl","payload":"CuwBCAESzwEKSmh0dHBzOi8vZ2l0aHViLmNvbS9tYXN0ZXJEZXYxOTg1L2h5cGVybGVkZ2VyX2NoYWluY29kZS9jaGFpbmNvZGVfZXhhbXBsZTAyEoABNzJjM2MzOTU3MDdiZTdkYTZlMjY4NDFiYjk0NzVlYzk2YWMwNjY4N2NkZjVlYTU1Nzk2MjAyODAxZTY1OGQwYmFmZTI1NzEwOWVjN2VlYmQxODE0Y2E1Yzc2YjhiZTVmMDNkMzIzM2I3MDRmZDI5N2U4ZmNiODFkYmFiNzMwNWUaFgoEaW5pdBIBYRIDMTAwEgFiEgMyMDA=","uuid":"72c3c395707be7da6e26841bb9475ec96ac06687cdf5ea55796202801e658d0bafe257109ec7eebd1814ca5c76b8be5f03d3233b704fd297e8fcb81dbab7305e","timestamp":{"seconds":1476884576,"nanos":527851301},"nonce":"76QUdxaVvwyKw2c6f9RExjzkPG6+w+CS","cert":"MIICTzCCAfagAwIBAgIRANf8H9h3T04klZIWTEzVeQEwCgYIKoZIzj0EAwMwKTELMAkGA1UEBhMCVVMxDDAKBgNVBAoTA0lCTTEMMAoGA1UEAxMDdGNhMB4XDTE2MTAxOTEzMjk1M1oXDTE3MDExNzEzMjk1M1owOzELMAkGA1UEBhMCVVMxDDAKBgNVBAoTA0lCTTEeMBwGA1UEAwwVZGFzaGJvYXJkdXNlcl90eXBlMV8wMFkwEwYHKoZIzj0CAQYIKoZIzj0DAQcDQgAED9CvbulvaJlDtac8RQXq3c9SSyXrJYLNSaYuZfeWFRyavh0/a2c3V1a82KXXMAmL3jaD1KOmEmGhWTZhs37o96OB7DCB6TAOBgNVHQ8BAf8EBAMCB4AwDAYDVR0TAQH/BAIwADANBgNVHQ4EBgQEAQIDBDAPBgNVHSMECDAGgAQBAgMEME0GBioDBAUGBwEB/wRA6df9ZT7VvmeJrcRJAhERFsnkQ3xG6zP704jXKOFLDfoKAo8r9Xxxbnm4jhfiKuP7+lSAsNQlYVYQIbssj/2v8TBaBgYqAwQFBggEUIsek6QZH4ZQw6DowXg/x6D8IufDYFY3XUweUP2h+lo039aZDxr58rNnKuoHNdb8Y68Z40uEXdo07EHzPp6651xqaAfzuMv5+vJyWXqgJJwQMAoGCCqGSM49BAMDA0cAMEQCIEXBJ7GCMoFTCfm0kTNeo13dz/vZlIF218YaYhMN8u5GAiB4wKT7ZtHJzok9SUE4YCSFe2BM3t/7zGsyXHXinvoweA==","signature":"MEQCIHwG5Mwdv2UDYfpnGO67btmvo1SpjAhW8dopL+WW2PO9AiAhyOWht2EQYdrzQRcnmn7cHZHHBsq7QZECuH829OlxBw=="}],"stateHash":"nWVPpGTRkRG6wRdEllR9GFvsornEiBZ2RVpnYnoUPDPSESXnnFygfP7IquBtPz9c043oMRaTyZlkFsFd16Dx7g==","previousBlockHash":"zxegHz1ef6XFKXLywm6SUOfaWwOxyRZb+0O1XkAD5KmHEFIe/64fvOYs3i8x2DWDeqX+9dee7BCGNNO66u8/Xg==","consensusMetadata":"CAI=","nonHashData":{"localLedgerCommitTimestamp":{"seconds":1476884580,"nanos":911624756},"transactionResults":[{"uuid":"72c3c395707be7da6e26841bb9475ec96ac06687cdf5ea55796202801e658d0bafe257109ec7eebd1814ca5c76b8be5f03d3233b704fd297e8fcb81dbab7305e"}]}}
</v>
      </c>
    </row>
    <row r="21" spans="2:6" x14ac:dyDescent="0.25">
      <c r="B21" s="20"/>
      <c r="C21" s="26"/>
      <c r="D21" s="17">
        <f>MAX(CHAIN_HEIGHT-(ROW() - ROW(Table9[[#Headers],[block-id]])),-1)</f>
        <v>1</v>
      </c>
      <c r="E21" s="36" t="str">
        <f>IF( D21 &gt; -1, HYPERLINK($E$7 &amp; D21))</f>
        <v>https://893727999f2b46a78b7316cc9eaca0e3-vp0.dev.blockchain.ibm.com:443/chain/blocks/1</v>
      </c>
      <c r="F21" t="str">
        <f>IF(D21&gt;-1, GetHypeRaw(E21,""))</f>
        <v xml:space="preserve">{"transactions":[{"type":1,"chaincodeID":"Cj1odHRwczovL2dpdGh1Yi5jb20vSUJNLUJsb2NrY2hhaW4vY3AtY2hhaW5jb2RlLXYyL2h5cGVybGVkZ2VyEoABYmMyNWU0Mjg2NDQ3N2ZlZWVlZGJmYjVmZWNiN2ZlYTBjNWJiYTYyN2Y5YWYyYWNmOWMxOTc0NmY3MDVlNjcxMDE5ZGQwNGMxZjdmNzI4MmY2MmE3Y2JlZmJhMTc4MGQ3OGIyNzUwN2U3NzdiMzYyMDcxM2Q3ZGYzNzEzMTQ0MmY=","payload":"Cs8BCAESwgEKPWh0dHBzOi8vZ2l0aHViLmNvbS9JQk0tQmxvY2tjaGFpbi9jcC1jaGFpbmNvZGUtdjIvaHlwZXJsZWRnZXISgAFiYzI1ZTQyODY0NDc3ZmVlZWVkYmZiNWZlY2I3ZmVhMGM1YmJhNjI3ZjlhZjJhY2Y5YzE5NzQ2ZjcwNWU2NzEwMTlkZDA0YzFmN2Y3MjgyZjYyYTdjYmVmYmExNzgwZDc4YjI3NTA3ZTc3N2IzNjIwNzEzZDdkZjM3MTMxNDQyZhoGCgRpbml0","uuid":"bc25e42864477feeeedbfb5fecb7fea0c5bba627f9af2acf9c19746f705e671019dd04c1f7f7282f62a7cbefba1780d78b27507e777b3620713d7df37131442f","timestamp":{"seconds":1476884230,"nanos":304330322},"nonce":"+pWkxIsL5J0iwtCU/opBtk6m05qcxIhp","cert":"MIICTjCCAfWgAwIBAgIQI1kTOu9GTCaBqCAQtjACjjAKBggqhkjOPQQDAzApMQswCQYDVQQGEwJVUzEMMAoGA1UEChMDSUJNMQwwCgYDVQQDEwN0Y2EwHhcNMTYxMDE5MTMyOTUzWhcNMTcwMTE3MTMyOTUzWjA7MQswCQYDVQQGEwJVUzEMMAoGA1UEChMDSUJNMR4wHAYDVQQDDBVkYXNoYm9hcmR1c2VyX3R5cGUxXzAwWTATBgcqhkjOPQIBBggqhkjOPQMBBwNCAASdracncGvptugeRfGV8gahh37LrMI604uxmHuzny6B4w2OucQOaHBd6PtZtUPv7q7OPjQBGjA0n5zuElB1gpiFo4HsMIHpMA4GA1UdDwEB/wQEAwIHgDAMBgNVHRMBAf8EAjAAMA0GA1UdDgQGBAQBAgMEMA8GA1UdIwQIMAaABAECAwQwTQYGKgMEBQYHAQH/BEBaK/2mX+LH359rzwWkDraRW7vEZyiLFH+QlttgjwUGcxKDbctGIWFgpsz0jHod15v4p5NJlP3a8pNr7O1DO2T2MFoGBioDBAUGCARQqbiHZdimnLtI6QY/B3k/Z9pnGFkBhIpoU2l59axOG5gm+yKduZopkN7ehymD4PE8a58weHnSLlrz/IQdIjW/7qAzTT6WGwM4+2GBBoCuA58wCgYIKoZIzj0EAwMDRwAwRAIgLwyFCsMNJ7M+93s7VZ7jjxIsSjkh0w7s+zyMF3jbWl0CIGVFz5of0kD3JUTw2KH5yrl8+ys2FgbBTZ9gXmaLjwdp","signature":"MEYCIQCa4bw+yKXy1WmHfyFBZ79ZP524Fh5MnhZXzC8wWuExgAIhAO910weJzXqpfy5HtCcYFt4iZaxSUh8oImUQyTloJeo2"}],"stateHash":"XbaZBsxIwQRwZipTJq1EmnsGz2lukEIKg/tYnu/Sgib/5zYzyCtyKoVjgtQWQ6YSWFPUk61ohojYAEOx8Ur/gg==","previousBlockHash":"RrndKwuojRMjOz/rdD7rJD/NUupiuBuCtQwnZG7Vdi/XXcTd2MDyAMsFAZ1ntZL2/IIcSUeatIZAKS6ss7fEvg==","consensusMetadata":"CAE=","nonHashData":{"localLedgerCommitTimestamp":{"seconds":1476884235,"nanos":585141956},"transactionResults":[{"uuid":"bc25e42864477feeeedbfb5fecb7fea0c5bba627f9af2acf9c19746f705e671019dd04c1f7f7282f62a7cbefba1780d78b27507e777b3620713d7df37131442f"}]}}
</v>
      </c>
    </row>
    <row r="22" spans="2:6" x14ac:dyDescent="0.25">
      <c r="B22" s="20"/>
      <c r="C22" s="26"/>
      <c r="D22" s="17">
        <f>MAX(CHAIN_HEIGHT-(ROW() - ROW(Table9[[#Headers],[block-id]])),-1)</f>
        <v>0</v>
      </c>
      <c r="E22" s="37" t="str">
        <f>IF( D22 &gt; -1, HYPERLINK($E$7 &amp; D22))</f>
        <v>https://893727999f2b46a78b7316cc9eaca0e3-vp0.dev.blockchain.ibm.com:443/chain/blocks/0</v>
      </c>
      <c r="F22" t="str">
        <f>IF(D22&gt;-1, GetHypeRaw(E22,""))</f>
        <v xml:space="preserve">{"nonHashData":{"localLedgerCommitTimestamp":{"seconds":1476033247,"nanos":167657388}}}
</v>
      </c>
    </row>
    <row r="23" spans="2:6" x14ac:dyDescent="0.25">
      <c r="B23" s="20"/>
      <c r="C23" s="26"/>
      <c r="D23" s="17">
        <f>MAX(CHAIN_HEIGHT-(ROW() - ROW(Table9[[#Headers],[block-id]])),-1)</f>
        <v>-1</v>
      </c>
      <c r="E23" s="37" t="b">
        <f>IF( D23 &gt; -1, HYPERLINK($E$7 &amp; D23))</f>
        <v>0</v>
      </c>
      <c r="F23" t="b">
        <f>IF(D23&gt;-1, GetHypeRaw(E23,""))</f>
        <v>0</v>
      </c>
    </row>
    <row r="24" spans="2:6" x14ac:dyDescent="0.25">
      <c r="B24" s="20"/>
      <c r="C24" s="26"/>
      <c r="D24" s="17">
        <f>MAX(CHAIN_HEIGHT-(ROW() - ROW(Table9[[#Headers],[block-id]])),-1)</f>
        <v>-1</v>
      </c>
      <c r="E24" s="37" t="b">
        <f>IF( D24 &gt; -1, HYPERLINK($E$7 &amp; D24))</f>
        <v>0</v>
      </c>
      <c r="F24" t="b">
        <f>IF(D24&gt;-1, GetHypeRaw(E24,""))</f>
        <v>0</v>
      </c>
    </row>
    <row r="25" spans="2:6" x14ac:dyDescent="0.25">
      <c r="B25" s="20"/>
      <c r="C25" s="26"/>
      <c r="D25" s="17">
        <f>MAX(CHAIN_HEIGHT-(ROW() - ROW(Table9[[#Headers],[block-id]])),-1)</f>
        <v>-1</v>
      </c>
      <c r="E25" s="37" t="b">
        <f>IF( D25 &gt; -1, HYPERLINK($E$7 &amp; D25))</f>
        <v>0</v>
      </c>
      <c r="F25" t="b">
        <f>IF(D25&gt;-1, GetHypeRaw(E25,""))</f>
        <v>0</v>
      </c>
    </row>
    <row r="26" spans="2:6" x14ac:dyDescent="0.25">
      <c r="B26" s="20"/>
      <c r="C26" s="26"/>
      <c r="D26" s="17">
        <f>MAX(CHAIN_HEIGHT-(ROW() - ROW(Table9[[#Headers],[block-id]])),-1)</f>
        <v>-1</v>
      </c>
      <c r="E26" s="37" t="b">
        <f>IF( D26 &gt; -1, HYPERLINK($E$7 &amp; D26))</f>
        <v>0</v>
      </c>
      <c r="F26" t="b">
        <f>IF(D26&gt;-1, GetHypeRaw(E26,""))</f>
        <v>0</v>
      </c>
    </row>
    <row r="27" spans="2:6" x14ac:dyDescent="0.25">
      <c r="B27" s="20"/>
      <c r="C27" s="26"/>
      <c r="D27" s="17">
        <f>MAX(CHAIN_HEIGHT-(ROW() - ROW(Table9[[#Headers],[block-id]])),-1)</f>
        <v>-1</v>
      </c>
      <c r="E27" s="37" t="b">
        <f>IF( D27 &gt; -1, HYPERLINK($E$7 &amp; D27))</f>
        <v>0</v>
      </c>
      <c r="F27" t="b">
        <f>IF(D27&gt;-1, GetHypeRaw(E27,""))</f>
        <v>0</v>
      </c>
    </row>
    <row r="28" spans="2:6" x14ac:dyDescent="0.25">
      <c r="B28" s="20"/>
      <c r="C28" s="26"/>
      <c r="D28" s="17">
        <f>MAX(CHAIN_HEIGHT-(ROW() - ROW(Table9[[#Headers],[block-id]])),-1)</f>
        <v>-1</v>
      </c>
      <c r="E28" s="37" t="b">
        <f>IF( D28 &gt; -1, HYPERLINK($E$7 &amp; D28))</f>
        <v>0</v>
      </c>
      <c r="F28" t="b">
        <f>IF(D28&gt;-1, GetHypeRaw(E28,""))</f>
        <v>0</v>
      </c>
    </row>
    <row r="29" spans="2:6" x14ac:dyDescent="0.25">
      <c r="B29" s="20"/>
      <c r="C29" s="26"/>
      <c r="D29" s="17">
        <f>MAX(CHAIN_HEIGHT-(ROW() - ROW(Table9[[#Headers],[block-id]])),-1)</f>
        <v>-1</v>
      </c>
      <c r="E29" s="37" t="b">
        <f>IF( D29 &gt; -1, HYPERLINK($E$7 &amp; D29))</f>
        <v>0</v>
      </c>
      <c r="F29" t="b">
        <f>IF(D29&gt;-1, GetHypeRaw(E29,""))</f>
        <v>0</v>
      </c>
    </row>
    <row r="30" spans="2:6" x14ac:dyDescent="0.25">
      <c r="B30" s="20"/>
      <c r="C30" s="26"/>
      <c r="D30" s="17">
        <f>MAX(CHAIN_HEIGHT-(ROW() - ROW(Table9[[#Headers],[block-id]])),-1)</f>
        <v>-1</v>
      </c>
      <c r="E30" s="37" t="b">
        <f>IF( D30 &gt; -1, HYPERLINK($E$7 &amp; D30))</f>
        <v>0</v>
      </c>
      <c r="F30" t="b">
        <f>IF(D30&gt;-1, GetHypeRaw(E30,""))</f>
        <v>0</v>
      </c>
    </row>
    <row r="31" spans="2:6" x14ac:dyDescent="0.25">
      <c r="B31" s="20"/>
      <c r="C31" s="26"/>
      <c r="D31" s="17">
        <f>MAX(CHAIN_HEIGHT-(ROW() - ROW(Table9[[#Headers],[block-id]])),-1)</f>
        <v>-1</v>
      </c>
      <c r="E31" s="37" t="b">
        <f>IF( D31 &gt; -1, HYPERLINK($E$7 &amp; D31))</f>
        <v>0</v>
      </c>
      <c r="F31" t="b">
        <f>IF(D31&gt;-1, GetHypeRaw(E31,""))</f>
        <v>0</v>
      </c>
    </row>
    <row r="32" spans="2:6" x14ac:dyDescent="0.25">
      <c r="B32" s="20"/>
      <c r="C32" s="26"/>
      <c r="D32" s="18">
        <f>MAX(CHAIN_HEIGHT-(ROW() - ROW(Table9[[#Headers],[block-id]])),-1)</f>
        <v>-1</v>
      </c>
      <c r="E32" s="38" t="b">
        <f>IF( D32 &gt; -1, HYPERLINK($E$7 &amp; D32))</f>
        <v>0</v>
      </c>
      <c r="F32" t="b">
        <f>IF(D32&gt;-1, GetHypeRaw(E32,""))</f>
        <v>0</v>
      </c>
    </row>
    <row r="33" spans="2:6" x14ac:dyDescent="0.25">
      <c r="B33" s="20"/>
      <c r="C33" s="26"/>
      <c r="D33" s="17">
        <f>MAX(CHAIN_HEIGHT-(ROW() - ROW(Table9[[#Headers],[block-id]])),-1)</f>
        <v>-1</v>
      </c>
      <c r="E33" s="38" t="b">
        <f>IF( D33 &gt; -1, HYPERLINK($E$7 &amp; D33))</f>
        <v>0</v>
      </c>
      <c r="F33" t="b">
        <f>IF(D33&gt;-1, GetHypeRaw(E33,""))</f>
        <v>0</v>
      </c>
    </row>
    <row r="34" spans="2:6" x14ac:dyDescent="0.25">
      <c r="B34" s="20"/>
      <c r="C34" s="26"/>
      <c r="D34" s="17">
        <f>MAX(CHAIN_HEIGHT-(ROW() - ROW(Table9[[#Headers],[block-id]])),-1)</f>
        <v>-1</v>
      </c>
      <c r="E34" s="38" t="b">
        <f>IF( D34 &gt; -1, HYPERLINK($E$7 &amp; D34))</f>
        <v>0</v>
      </c>
      <c r="F34" t="b">
        <f>IF(D34&gt;-1, GetHypeRaw(E34,""))</f>
        <v>0</v>
      </c>
    </row>
    <row r="35" spans="2:6" x14ac:dyDescent="0.25">
      <c r="B35" s="20"/>
      <c r="C35" s="26"/>
      <c r="D35" s="17">
        <f>MAX(CHAIN_HEIGHT-(ROW() - ROW(Table9[[#Headers],[block-id]])),-1)</f>
        <v>-1</v>
      </c>
      <c r="E35" s="38" t="b">
        <f>IF( D35 &gt; -1, HYPERLINK($E$7 &amp; D35))</f>
        <v>0</v>
      </c>
      <c r="F35" t="b">
        <f>IF(D35&gt;-1, GetHypeRaw(E35,""))</f>
        <v>0</v>
      </c>
    </row>
    <row r="36" spans="2:6" x14ac:dyDescent="0.25">
      <c r="B36" s="20"/>
      <c r="C36" s="26"/>
      <c r="D36" s="17">
        <f>MAX(CHAIN_HEIGHT-(ROW() - ROW(Table9[[#Headers],[block-id]])),-1)</f>
        <v>-1</v>
      </c>
      <c r="E36" s="38" t="b">
        <f>IF( D36 &gt; -1, HYPERLINK($E$7 &amp; D36))</f>
        <v>0</v>
      </c>
      <c r="F36" t="b">
        <f>IF(D36&gt;-1, GetHypeRaw(E36,""))</f>
        <v>0</v>
      </c>
    </row>
    <row r="37" spans="2:6" x14ac:dyDescent="0.25">
      <c r="B37" s="20"/>
      <c r="C37" s="26"/>
      <c r="D37" s="17">
        <f>MAX(CHAIN_HEIGHT-(ROW() - ROW(Table9[[#Headers],[block-id]])),-1)</f>
        <v>-1</v>
      </c>
      <c r="E37" s="38" t="b">
        <f>IF( D37 &gt; -1, HYPERLINK($E$7 &amp; D37))</f>
        <v>0</v>
      </c>
      <c r="F37" t="b">
        <f>IF(D37&gt;-1, GetHypeRaw(E37,""))</f>
        <v>0</v>
      </c>
    </row>
    <row r="38" spans="2:6" x14ac:dyDescent="0.25">
      <c r="B38" s="20"/>
      <c r="C38" s="26"/>
      <c r="D38" s="17">
        <f>MAX(CHAIN_HEIGHT-(ROW() - ROW(Table9[[#Headers],[block-id]])),-1)</f>
        <v>-1</v>
      </c>
      <c r="E38" s="38" t="b">
        <f>IF( D38 &gt; -1, HYPERLINK($E$7 &amp; D38))</f>
        <v>0</v>
      </c>
      <c r="F38" t="b">
        <f>IF(D38&gt;-1, GetHypeRaw(E38,""))</f>
        <v>0</v>
      </c>
    </row>
    <row r="39" spans="2:6" x14ac:dyDescent="0.25">
      <c r="B39" s="20"/>
      <c r="C39" s="26"/>
      <c r="D39" s="17">
        <f>MAX(CHAIN_HEIGHT-(ROW() - ROW(Table9[[#Headers],[block-id]])),-1)</f>
        <v>-1</v>
      </c>
      <c r="E39" s="38" t="b">
        <f>IF( D39 &gt; -1, HYPERLINK($E$7 &amp; D39))</f>
        <v>0</v>
      </c>
      <c r="F39" t="b">
        <f>IF(D39&gt;-1, GetHypeRaw(E39,""))</f>
        <v>0</v>
      </c>
    </row>
    <row r="40" spans="2:6" x14ac:dyDescent="0.25">
      <c r="B40" s="20"/>
      <c r="C40" s="26"/>
      <c r="D40" s="17">
        <f>MAX(CHAIN_HEIGHT-(ROW() - ROW(Table9[[#Headers],[block-id]])),-1)</f>
        <v>-1</v>
      </c>
      <c r="E40" s="38" t="b">
        <f>IF( D40 &gt; -1, HYPERLINK($E$7 &amp; D40))</f>
        <v>0</v>
      </c>
      <c r="F40" t="b">
        <f>IF(D40&gt;-1, GetHypeRaw(E40,""))</f>
        <v>0</v>
      </c>
    </row>
    <row r="41" spans="2:6" x14ac:dyDescent="0.25">
      <c r="B41" s="20"/>
      <c r="C41" s="26"/>
      <c r="D41" s="17">
        <f>MAX(CHAIN_HEIGHT-(ROW() - ROW(Table9[[#Headers],[block-id]])),-1)</f>
        <v>-1</v>
      </c>
      <c r="E41" s="38" t="b">
        <f>IF( D41 &gt; -1, HYPERLINK($E$7 &amp; D41))</f>
        <v>0</v>
      </c>
      <c r="F41" t="b">
        <f>IF(D41&gt;-1, GetHypeRaw(E41,""))</f>
        <v>0</v>
      </c>
    </row>
    <row r="42" spans="2:6" x14ac:dyDescent="0.25">
      <c r="B42" s="20"/>
      <c r="C42" s="26"/>
      <c r="D42" s="17">
        <f>MAX(CHAIN_HEIGHT-(ROW() - ROW(Table9[[#Headers],[block-id]])),-1)</f>
        <v>-1</v>
      </c>
      <c r="E42" s="38" t="b">
        <f>IF( D42 &gt; -1, HYPERLINK($E$7 &amp; D42))</f>
        <v>0</v>
      </c>
      <c r="F42" t="b">
        <f>IF(D42&gt;-1, GetHypeRaw(E42,""))</f>
        <v>0</v>
      </c>
    </row>
    <row r="43" spans="2:6" x14ac:dyDescent="0.25">
      <c r="B43" s="20"/>
      <c r="C43" s="26"/>
      <c r="D43" s="17">
        <f>MAX(CHAIN_HEIGHT-(ROW() - ROW(Table9[[#Headers],[block-id]])),-1)</f>
        <v>-1</v>
      </c>
      <c r="E43" s="38" t="b">
        <f>IF( D43 &gt; -1, HYPERLINK($E$7 &amp; D43))</f>
        <v>0</v>
      </c>
      <c r="F43" t="b">
        <f>IF(D43&gt;-1, GetHypeRaw(E43,""))</f>
        <v>0</v>
      </c>
    </row>
    <row r="44" spans="2:6" x14ac:dyDescent="0.25">
      <c r="B44" s="20"/>
      <c r="C44" s="26"/>
      <c r="D44" s="17">
        <f>MAX(CHAIN_HEIGHT-(ROW() - ROW(Table9[[#Headers],[block-id]])),-1)</f>
        <v>-1</v>
      </c>
      <c r="E44" s="38" t="b">
        <f>IF( D44 &gt; -1, HYPERLINK($E$7 &amp; D44))</f>
        <v>0</v>
      </c>
      <c r="F44" t="b">
        <f>IF(D44&gt;-1, GetHypeRaw(E44,""))</f>
        <v>0</v>
      </c>
    </row>
    <row r="45" spans="2:6" x14ac:dyDescent="0.25">
      <c r="B45" s="20"/>
      <c r="C45" s="26"/>
      <c r="D45" s="17">
        <f>MAX(CHAIN_HEIGHT-(ROW() - ROW(Table9[[#Headers],[block-id]])),-1)</f>
        <v>-1</v>
      </c>
      <c r="E45" s="38" t="b">
        <f>IF( D45 &gt; -1, HYPERLINK($E$7 &amp; D45))</f>
        <v>0</v>
      </c>
      <c r="F45" t="b">
        <f>IF(D45&gt;-1, GetHypeRaw(E45,""))</f>
        <v>0</v>
      </c>
    </row>
    <row r="46" spans="2:6" x14ac:dyDescent="0.25">
      <c r="B46" s="20"/>
      <c r="C46" s="26"/>
      <c r="D46" s="17">
        <f>MAX(CHAIN_HEIGHT-(ROW() - ROW(Table9[[#Headers],[block-id]])),-1)</f>
        <v>-1</v>
      </c>
      <c r="E46" s="38" t="b">
        <f>IF( D46 &gt; -1, HYPERLINK($E$7 &amp; D46))</f>
        <v>0</v>
      </c>
      <c r="F46" t="b">
        <f>IF(D46&gt;-1, GetHypeRaw(E46,""))</f>
        <v>0</v>
      </c>
    </row>
    <row r="47" spans="2:6" x14ac:dyDescent="0.25">
      <c r="B47" s="20"/>
      <c r="C47" s="26"/>
      <c r="D47" s="17">
        <f>MAX(CHAIN_HEIGHT-(ROW() - ROW(Table9[[#Headers],[block-id]])),-1)</f>
        <v>-1</v>
      </c>
      <c r="E47" s="38" t="b">
        <f>IF( D47 &gt; -1, HYPERLINK($E$7 &amp; D47))</f>
        <v>0</v>
      </c>
      <c r="F47" t="b">
        <f>IF(D47&gt;-1, GetHypeRaw(E47,""))</f>
        <v>0</v>
      </c>
    </row>
    <row r="48" spans="2:6" x14ac:dyDescent="0.25">
      <c r="B48" s="20"/>
      <c r="C48" s="26"/>
      <c r="D48" s="17">
        <f>MAX(CHAIN_HEIGHT-(ROW() - ROW(Table9[[#Headers],[block-id]])),-1)</f>
        <v>-1</v>
      </c>
      <c r="E48" s="38" t="b">
        <f>IF( D48 &gt; -1, HYPERLINK($E$7 &amp; D48))</f>
        <v>0</v>
      </c>
      <c r="F48" t="b">
        <f>IF(D48&gt;-1, GetHypeRaw(E48,""))</f>
        <v>0</v>
      </c>
    </row>
    <row r="49" spans="2:6" x14ac:dyDescent="0.25">
      <c r="B49" s="20"/>
      <c r="C49" s="26"/>
      <c r="D49" s="17">
        <f>MAX(CHAIN_HEIGHT-(ROW() - ROW(Table9[[#Headers],[block-id]])),-1)</f>
        <v>-1</v>
      </c>
      <c r="E49" s="38" t="b">
        <f>IF( D49 &gt; -1, HYPERLINK($E$7 &amp; D49))</f>
        <v>0</v>
      </c>
      <c r="F49" t="b">
        <f>IF(D49&gt;-1, GetHypeRaw(E49,""))</f>
        <v>0</v>
      </c>
    </row>
    <row r="50" spans="2:6" x14ac:dyDescent="0.25">
      <c r="B50" s="20"/>
      <c r="C50" s="26"/>
      <c r="D50" s="17">
        <f>MAX(CHAIN_HEIGHT-(ROW() - ROW(Table9[[#Headers],[block-id]])),-1)</f>
        <v>-1</v>
      </c>
      <c r="E50" s="38" t="b">
        <f>IF( D50 &gt; -1, HYPERLINK($E$7 &amp; D50))</f>
        <v>0</v>
      </c>
      <c r="F50" t="b">
        <f>IF(D50&gt;-1, GetHypeRaw(E50,""))</f>
        <v>0</v>
      </c>
    </row>
    <row r="51" spans="2:6" x14ac:dyDescent="0.25">
      <c r="B51" s="20"/>
      <c r="C51" s="26"/>
      <c r="D51" s="17">
        <f>MAX(CHAIN_HEIGHT-(ROW() - ROW(Table9[[#Headers],[block-id]])),-1)</f>
        <v>-1</v>
      </c>
      <c r="E51" s="38" t="b">
        <f>IF( D51 &gt; -1, HYPERLINK($E$7 &amp; D51))</f>
        <v>0</v>
      </c>
      <c r="F51" t="b">
        <f>IF(D51&gt;-1, GetHypeRaw(E51,""))</f>
        <v>0</v>
      </c>
    </row>
    <row r="52" spans="2:6" x14ac:dyDescent="0.25">
      <c r="B52" s="20"/>
      <c r="C52" s="26"/>
      <c r="D52" s="17">
        <f>MAX(CHAIN_HEIGHT-(ROW() - ROW(Table9[[#Headers],[block-id]])),-1)</f>
        <v>-1</v>
      </c>
      <c r="E52" s="38" t="b">
        <f>IF( D52 &gt; -1, HYPERLINK($E$7 &amp; D52))</f>
        <v>0</v>
      </c>
      <c r="F52" t="b">
        <f>IF(D52&gt;-1, GetHypeRaw(E52,""))</f>
        <v>0</v>
      </c>
    </row>
    <row r="53" spans="2:6" x14ac:dyDescent="0.25">
      <c r="B53" s="20"/>
      <c r="C53" s="26"/>
      <c r="D53" s="17">
        <f>MAX(CHAIN_HEIGHT-(ROW() - ROW(Table9[[#Headers],[block-id]])),-1)</f>
        <v>-1</v>
      </c>
      <c r="E53" s="38" t="b">
        <f>IF( D53 &gt; -1, HYPERLINK($E$7 &amp; D53))</f>
        <v>0</v>
      </c>
      <c r="F53" t="b">
        <f>IF(D53&gt;-1, GetHypeRaw(E53,""))</f>
        <v>0</v>
      </c>
    </row>
    <row r="54" spans="2:6" x14ac:dyDescent="0.25">
      <c r="B54" s="20"/>
      <c r="C54" s="26"/>
      <c r="D54" s="17">
        <f>MAX(CHAIN_HEIGHT-(ROW() - ROW(Table9[[#Headers],[block-id]])),-1)</f>
        <v>-1</v>
      </c>
      <c r="E54" s="38" t="b">
        <f>IF( D54 &gt; -1, HYPERLINK($E$7 &amp; D54))</f>
        <v>0</v>
      </c>
      <c r="F54" t="b">
        <f>IF(D54&gt;-1, GetHypeRaw(E54,""))</f>
        <v>0</v>
      </c>
    </row>
    <row r="55" spans="2:6" x14ac:dyDescent="0.25">
      <c r="B55" s="20"/>
      <c r="C55" s="26"/>
      <c r="D55" s="17">
        <f>MAX(CHAIN_HEIGHT-(ROW() - ROW(Table9[[#Headers],[block-id]])),-1)</f>
        <v>-1</v>
      </c>
      <c r="E55" s="38" t="b">
        <f>IF( D55 &gt; -1, HYPERLINK($E$7 &amp; D55))</f>
        <v>0</v>
      </c>
      <c r="F55" t="b">
        <f>IF(D55&gt;-1, GetHypeRaw(E55,""))</f>
        <v>0</v>
      </c>
    </row>
    <row r="56" spans="2:6" x14ac:dyDescent="0.25">
      <c r="B56" s="20"/>
      <c r="C56" s="26"/>
      <c r="D56" s="17">
        <f>MAX(CHAIN_HEIGHT-(ROW() - ROW(Table9[[#Headers],[block-id]])),-1)</f>
        <v>-1</v>
      </c>
      <c r="E56" s="38" t="b">
        <f>IF( D56 &gt; -1, HYPERLINK($E$7 &amp; D56))</f>
        <v>0</v>
      </c>
      <c r="F56" t="b">
        <f>IF(D56&gt;-1, GetHypeRaw(E56,""))</f>
        <v>0</v>
      </c>
    </row>
    <row r="57" spans="2:6" x14ac:dyDescent="0.25">
      <c r="B57" s="20"/>
      <c r="C57" s="26"/>
      <c r="D57" s="17">
        <f>MAX(CHAIN_HEIGHT-(ROW() - ROW(Table9[[#Headers],[block-id]])),-1)</f>
        <v>-1</v>
      </c>
      <c r="E57" s="38" t="b">
        <f>IF( D57 &gt; -1, HYPERLINK($E$7 &amp; D57))</f>
        <v>0</v>
      </c>
      <c r="F57" t="b">
        <f>IF(D57&gt;-1, GetHypeRaw(E57,""))</f>
        <v>0</v>
      </c>
    </row>
    <row r="58" spans="2:6" x14ac:dyDescent="0.25">
      <c r="B58" s="20"/>
      <c r="C58" s="26"/>
      <c r="D58" s="17">
        <f>MAX(CHAIN_HEIGHT-(ROW() - ROW(Table9[[#Headers],[block-id]])),-1)</f>
        <v>-1</v>
      </c>
      <c r="E58" s="38" t="b">
        <f>IF( D58 &gt; -1, HYPERLINK($E$7 &amp; D58))</f>
        <v>0</v>
      </c>
      <c r="F58" t="b">
        <f>IF(D58&gt;-1, GetHypeRaw(E58,""))</f>
        <v>0</v>
      </c>
    </row>
    <row r="59" spans="2:6" x14ac:dyDescent="0.25">
      <c r="B59" s="20"/>
      <c r="C59" s="26"/>
      <c r="D59" s="17">
        <f>MAX(CHAIN_HEIGHT-(ROW() - ROW(Table9[[#Headers],[block-id]])),-1)</f>
        <v>-1</v>
      </c>
      <c r="E59" s="38" t="b">
        <f>IF( D59 &gt; -1, HYPERLINK($E$7 &amp; D59))</f>
        <v>0</v>
      </c>
      <c r="F59" t="b">
        <f>IF(D59&gt;-1, GetHypeRaw(E59,""))</f>
        <v>0</v>
      </c>
    </row>
    <row r="60" spans="2:6" x14ac:dyDescent="0.25">
      <c r="B60" s="20"/>
      <c r="C60" s="26"/>
      <c r="D60" s="17">
        <f>MAX(CHAIN_HEIGHT-(ROW() - ROW(Table9[[#Headers],[block-id]])),-1)</f>
        <v>-1</v>
      </c>
      <c r="E60" s="38" t="b">
        <f>IF( D60 &gt; -1, HYPERLINK($E$7 &amp; D60))</f>
        <v>0</v>
      </c>
      <c r="F60" t="b">
        <f>IF(D60&gt;-1, GetHypeRaw(E60,""))</f>
        <v>0</v>
      </c>
    </row>
    <row r="61" spans="2:6" x14ac:dyDescent="0.25">
      <c r="B61" s="20"/>
      <c r="C61" s="26"/>
      <c r="D61" s="17">
        <f>MAX(CHAIN_HEIGHT-(ROW() - ROW(Table9[[#Headers],[block-id]])),-1)</f>
        <v>-1</v>
      </c>
      <c r="E61" s="38" t="b">
        <f>IF( D61 &gt; -1, HYPERLINK($E$7 &amp; D61))</f>
        <v>0</v>
      </c>
      <c r="F61" t="b">
        <f>IF(D61&gt;-1, GetHypeRaw(E61,""))</f>
        <v>0</v>
      </c>
    </row>
    <row r="62" spans="2:6" x14ac:dyDescent="0.25">
      <c r="B62" s="20"/>
      <c r="C62" s="26"/>
      <c r="D62" s="17">
        <f>MAX(CHAIN_HEIGHT-(ROW() - ROW(Table9[[#Headers],[block-id]])),-1)</f>
        <v>-1</v>
      </c>
      <c r="E62" s="38" t="b">
        <f>IF( D62 &gt; -1, HYPERLINK($E$7 &amp; D62))</f>
        <v>0</v>
      </c>
      <c r="F62" t="b">
        <f>IF(D62&gt;-1, GetHypeRaw(E62,""))</f>
        <v>0</v>
      </c>
    </row>
    <row r="63" spans="2:6" x14ac:dyDescent="0.25">
      <c r="B63" s="20"/>
      <c r="C63" s="26"/>
      <c r="D63" s="17">
        <f>MAX(CHAIN_HEIGHT-(ROW() - ROW(Table9[[#Headers],[block-id]])),-1)</f>
        <v>-1</v>
      </c>
      <c r="E63" s="38" t="b">
        <f>IF( D63 &gt; -1, HYPERLINK($E$7 &amp; D63))</f>
        <v>0</v>
      </c>
      <c r="F63" t="b">
        <f>IF(D63&gt;-1, GetHypeRaw(E63,""))</f>
        <v>0</v>
      </c>
    </row>
    <row r="64" spans="2:6" x14ac:dyDescent="0.25">
      <c r="B64" s="20"/>
      <c r="C64" s="26"/>
      <c r="D64" s="17">
        <f>MAX(CHAIN_HEIGHT-(ROW() - ROW(Table9[[#Headers],[block-id]])),-1)</f>
        <v>-1</v>
      </c>
      <c r="E64" s="38" t="b">
        <f>IF( D64 &gt; -1, HYPERLINK($E$7 &amp; D64))</f>
        <v>0</v>
      </c>
      <c r="F64" t="b">
        <f>IF(D64&gt;-1, GetHypeRaw(E64,""))</f>
        <v>0</v>
      </c>
    </row>
    <row r="65" spans="2:6" x14ac:dyDescent="0.25">
      <c r="B65" s="20"/>
      <c r="C65" s="26"/>
      <c r="D65" s="17">
        <f>MAX(CHAIN_HEIGHT-(ROW() - ROW(Table9[[#Headers],[block-id]])),-1)</f>
        <v>-1</v>
      </c>
      <c r="E65" s="38" t="b">
        <f>IF( D65 &gt; -1, HYPERLINK($E$7 &amp; D65))</f>
        <v>0</v>
      </c>
      <c r="F65" t="b">
        <f>IF(D65&gt;-1, GetHypeRaw(E65,""))</f>
        <v>0</v>
      </c>
    </row>
    <row r="66" spans="2:6" x14ac:dyDescent="0.25">
      <c r="B66" s="20"/>
      <c r="C66" s="26"/>
      <c r="D66" s="17">
        <f>MAX(CHAIN_HEIGHT-(ROW() - ROW(Table9[[#Headers],[block-id]])),-1)</f>
        <v>-1</v>
      </c>
      <c r="E66" s="38" t="b">
        <f>IF( D66 &gt; -1, HYPERLINK($E$7 &amp; D66))</f>
        <v>0</v>
      </c>
      <c r="F66" t="b">
        <f>IF(D66&gt;-1, GetHypeRaw(E66,""))</f>
        <v>0</v>
      </c>
    </row>
    <row r="67" spans="2:6" x14ac:dyDescent="0.25">
      <c r="B67" s="20"/>
      <c r="C67" s="26"/>
      <c r="D67" s="17">
        <f>MAX(CHAIN_HEIGHT-(ROW() - ROW(Table9[[#Headers],[block-id]])),-1)</f>
        <v>-1</v>
      </c>
      <c r="E67" s="38" t="b">
        <f>IF( D67 &gt; -1, HYPERLINK($E$7 &amp; D67))</f>
        <v>0</v>
      </c>
      <c r="F67" t="b">
        <f>IF(D67&gt;-1, GetHypeRaw(E67,""))</f>
        <v>0</v>
      </c>
    </row>
    <row r="68" spans="2:6" x14ac:dyDescent="0.25">
      <c r="B68" s="20"/>
      <c r="C68" s="26"/>
      <c r="D68" s="17">
        <f>MAX(CHAIN_HEIGHT-(ROW() - ROW(Table9[[#Headers],[block-id]])),-1)</f>
        <v>-1</v>
      </c>
      <c r="E68" s="38" t="b">
        <f>IF( D68 &gt; -1, HYPERLINK($E$7 &amp; D68))</f>
        <v>0</v>
      </c>
      <c r="F68" t="b">
        <f>IF(D68&gt;-1, GetHypeRaw(E68,""))</f>
        <v>0</v>
      </c>
    </row>
    <row r="69" spans="2:6" x14ac:dyDescent="0.25">
      <c r="B69" s="20"/>
      <c r="C69" s="26"/>
      <c r="D69" s="17">
        <f>MAX(CHAIN_HEIGHT-(ROW() - ROW(Table9[[#Headers],[block-id]])),-1)</f>
        <v>-1</v>
      </c>
      <c r="E69" s="38" t="b">
        <f>IF( D69 &gt; -1, HYPERLINK($E$7 &amp; D69))</f>
        <v>0</v>
      </c>
      <c r="F69" t="b">
        <f>IF(D69&gt;-1, GetHypeRaw(E69,""))</f>
        <v>0</v>
      </c>
    </row>
    <row r="70" spans="2:6" x14ac:dyDescent="0.25">
      <c r="B70" s="20"/>
      <c r="C70" s="26"/>
      <c r="D70" s="17">
        <f>MAX(CHAIN_HEIGHT-(ROW() - ROW(Table9[[#Headers],[block-id]])),-1)</f>
        <v>-1</v>
      </c>
      <c r="E70" s="38" t="b">
        <f>IF( D70 &gt; -1, HYPERLINK($E$7 &amp; D70))</f>
        <v>0</v>
      </c>
      <c r="F70" t="b">
        <f>IF(D70&gt;-1, GetHypeRaw(E70,""))</f>
        <v>0</v>
      </c>
    </row>
    <row r="71" spans="2:6" x14ac:dyDescent="0.25">
      <c r="B71" s="20"/>
      <c r="C71" s="26"/>
      <c r="D71" s="17">
        <f>MAX(CHAIN_HEIGHT-(ROW() - ROW(Table9[[#Headers],[block-id]])),-1)</f>
        <v>-1</v>
      </c>
      <c r="E71" s="38" t="b">
        <f>IF( D71 &gt; -1, HYPERLINK($E$7 &amp; D71))</f>
        <v>0</v>
      </c>
      <c r="F71" t="b">
        <f>IF(D71&gt;-1, GetHypeRaw(E71,""))</f>
        <v>0</v>
      </c>
    </row>
    <row r="72" spans="2:6" x14ac:dyDescent="0.25">
      <c r="B72" s="20"/>
      <c r="C72" s="26"/>
      <c r="D72" s="17">
        <f>MAX(CHAIN_HEIGHT-(ROW() - ROW(Table9[[#Headers],[block-id]])),-1)</f>
        <v>-1</v>
      </c>
      <c r="E72" s="38" t="b">
        <f>IF( D72 &gt; -1, HYPERLINK($E$7 &amp; D72))</f>
        <v>0</v>
      </c>
      <c r="F72" t="b">
        <f>IF(D72&gt;-1, GetHypeRaw(E72,""))</f>
        <v>0</v>
      </c>
    </row>
    <row r="73" spans="2:6" x14ac:dyDescent="0.25">
      <c r="B73" s="20"/>
      <c r="C73" s="26"/>
      <c r="D73" s="17">
        <f>MAX(CHAIN_HEIGHT-(ROW() - ROW(Table9[[#Headers],[block-id]])),-1)</f>
        <v>-1</v>
      </c>
      <c r="E73" s="38" t="b">
        <f>IF( D73 &gt; -1, HYPERLINK($E$7 &amp; D73))</f>
        <v>0</v>
      </c>
      <c r="F73" t="b">
        <f>IF(D73&gt;-1, GetHypeRaw(E73,""))</f>
        <v>0</v>
      </c>
    </row>
    <row r="74" spans="2:6" x14ac:dyDescent="0.25">
      <c r="B74" s="20"/>
      <c r="C74" s="26"/>
      <c r="D74" s="17">
        <f>MAX(CHAIN_HEIGHT-(ROW() - ROW(Table9[[#Headers],[block-id]])),-1)</f>
        <v>-1</v>
      </c>
      <c r="E74" s="38" t="b">
        <f>IF( D74 &gt; -1, HYPERLINK($E$7 &amp; D74))</f>
        <v>0</v>
      </c>
      <c r="F74" t="b">
        <f>IF(D74&gt;-1, GetHypeRaw(E74,""))</f>
        <v>0</v>
      </c>
    </row>
    <row r="75" spans="2:6" x14ac:dyDescent="0.25">
      <c r="B75" s="20"/>
      <c r="C75" s="26"/>
      <c r="D75" s="17">
        <f>MAX(CHAIN_HEIGHT-(ROW() - ROW(Table9[[#Headers],[block-id]])),-1)</f>
        <v>-1</v>
      </c>
      <c r="E75" s="38" t="b">
        <f>IF( D75 &gt; -1, HYPERLINK($E$7 &amp; D75))</f>
        <v>0</v>
      </c>
      <c r="F75" t="b">
        <f>IF(D75&gt;-1, GetHypeRaw(E75,""))</f>
        <v>0</v>
      </c>
    </row>
    <row r="76" spans="2:6" x14ac:dyDescent="0.25">
      <c r="B76" s="20"/>
      <c r="C76" s="26"/>
      <c r="D76" s="17">
        <f>MAX(CHAIN_HEIGHT-(ROW() - ROW(Table9[[#Headers],[block-id]])),-1)</f>
        <v>-1</v>
      </c>
      <c r="E76" s="38" t="b">
        <f>IF( D76 &gt; -1, HYPERLINK($E$7 &amp; D76))</f>
        <v>0</v>
      </c>
      <c r="F76" t="b">
        <f>IF(D76&gt;-1, GetHypeRaw(E76,""))</f>
        <v>0</v>
      </c>
    </row>
    <row r="77" spans="2:6" x14ac:dyDescent="0.25">
      <c r="B77" s="20"/>
      <c r="C77" s="26"/>
      <c r="D77" s="17">
        <f>MAX(CHAIN_HEIGHT-(ROW() - ROW(Table9[[#Headers],[block-id]])),-1)</f>
        <v>-1</v>
      </c>
      <c r="E77" s="38" t="b">
        <f>IF( D77 &gt; -1, HYPERLINK($E$7 &amp; D77))</f>
        <v>0</v>
      </c>
      <c r="F77" t="b">
        <f>IF(D77&gt;-1, GetHypeRaw(E77,""))</f>
        <v>0</v>
      </c>
    </row>
    <row r="78" spans="2:6" x14ac:dyDescent="0.25">
      <c r="B78" s="20"/>
      <c r="C78" s="26"/>
      <c r="D78" s="17">
        <f>MAX(CHAIN_HEIGHT-(ROW() - ROW(Table9[[#Headers],[block-id]])),-1)</f>
        <v>-1</v>
      </c>
      <c r="E78" s="38" t="b">
        <f>IF( D78 &gt; -1, HYPERLINK($E$7 &amp; D78))</f>
        <v>0</v>
      </c>
      <c r="F78" t="b">
        <f>IF(D78&gt;-1, GetHypeRaw(E78,""))</f>
        <v>0</v>
      </c>
    </row>
    <row r="79" spans="2:6" x14ac:dyDescent="0.25">
      <c r="B79" s="20"/>
      <c r="C79" s="26"/>
      <c r="D79" s="17">
        <f>MAX(CHAIN_HEIGHT-(ROW() - ROW(Table9[[#Headers],[block-id]])),-1)</f>
        <v>-1</v>
      </c>
      <c r="E79" s="38" t="b">
        <f>IF( D79 &gt; -1, HYPERLINK($E$7 &amp; D79))</f>
        <v>0</v>
      </c>
      <c r="F79" t="b">
        <f>IF(D79&gt;-1, GetHypeRaw(E79,""))</f>
        <v>0</v>
      </c>
    </row>
    <row r="80" spans="2:6" x14ac:dyDescent="0.25">
      <c r="B80" s="20"/>
      <c r="C80" s="26"/>
      <c r="D80" s="17">
        <f>MAX(CHAIN_HEIGHT-(ROW() - ROW(Table9[[#Headers],[block-id]])),-1)</f>
        <v>-1</v>
      </c>
      <c r="E80" s="38" t="b">
        <f>IF( D80 &gt; -1, HYPERLINK($E$7 &amp; D80))</f>
        <v>0</v>
      </c>
      <c r="F80" t="b">
        <f>IF(D80&gt;-1, GetHypeRaw(E80,""))</f>
        <v>0</v>
      </c>
    </row>
    <row r="81" spans="2:6" x14ac:dyDescent="0.25">
      <c r="B81" s="20"/>
      <c r="C81" s="26"/>
      <c r="D81" s="17">
        <f>MAX(CHAIN_HEIGHT-(ROW() - ROW(Table9[[#Headers],[block-id]])),-1)</f>
        <v>-1</v>
      </c>
      <c r="E81" s="38" t="b">
        <f>IF( D81 &gt; -1, HYPERLINK($E$7 &amp; D81))</f>
        <v>0</v>
      </c>
      <c r="F81" t="b">
        <f>IF(D81&gt;-1, GetHypeRaw(E81,""))</f>
        <v>0</v>
      </c>
    </row>
    <row r="82" spans="2:6" x14ac:dyDescent="0.25">
      <c r="B82" s="20"/>
      <c r="C82" s="26"/>
      <c r="D82" s="17">
        <f>MAX(CHAIN_HEIGHT-(ROW() - ROW(Table9[[#Headers],[block-id]])),-1)</f>
        <v>-1</v>
      </c>
      <c r="E82" s="38" t="b">
        <f>IF( D82 &gt; -1, HYPERLINK($E$7 &amp; D82))</f>
        <v>0</v>
      </c>
      <c r="F82" t="b">
        <f>IF(D82&gt;-1, GetHypeRaw(E82,""))</f>
        <v>0</v>
      </c>
    </row>
    <row r="83" spans="2:6" x14ac:dyDescent="0.25">
      <c r="B83" s="20"/>
      <c r="C83" s="26"/>
      <c r="D83" s="17">
        <f>MAX(CHAIN_HEIGHT-(ROW() - ROW(Table9[[#Headers],[block-id]])),-1)</f>
        <v>-1</v>
      </c>
      <c r="E83" s="38" t="b">
        <f>IF( D83 &gt; -1, HYPERLINK($E$7 &amp; D83))</f>
        <v>0</v>
      </c>
      <c r="F83" t="b">
        <f>IF(D83&gt;-1, GetHypeRaw(E83,""))</f>
        <v>0</v>
      </c>
    </row>
    <row r="84" spans="2:6" x14ac:dyDescent="0.25">
      <c r="B84" s="20"/>
      <c r="C84" s="26"/>
      <c r="D84" s="17">
        <f>MAX(CHAIN_HEIGHT-(ROW() - ROW(Table9[[#Headers],[block-id]])),-1)</f>
        <v>-1</v>
      </c>
      <c r="E84" s="38" t="b">
        <f>IF( D84 &gt; -1, HYPERLINK($E$7 &amp; D84))</f>
        <v>0</v>
      </c>
      <c r="F84" t="b">
        <f>IF(D84&gt;-1, GetHypeRaw(E84,""))</f>
        <v>0</v>
      </c>
    </row>
    <row r="85" spans="2:6" x14ac:dyDescent="0.25">
      <c r="B85" s="20"/>
      <c r="C85" s="26"/>
      <c r="D85" s="17">
        <f>MAX(CHAIN_HEIGHT-(ROW() - ROW(Table9[[#Headers],[block-id]])),-1)</f>
        <v>-1</v>
      </c>
      <c r="E85" s="38" t="b">
        <f>IF( D85 &gt; -1, HYPERLINK($E$7 &amp; D85))</f>
        <v>0</v>
      </c>
      <c r="F85" t="b">
        <f>IF(D85&gt;-1, GetHypeRaw(E85,""))</f>
        <v>0</v>
      </c>
    </row>
    <row r="86" spans="2:6" x14ac:dyDescent="0.25">
      <c r="B86" s="20"/>
      <c r="C86" s="26"/>
      <c r="D86" s="17">
        <f>MAX(CHAIN_HEIGHT-(ROW() - ROW(Table9[[#Headers],[block-id]])),-1)</f>
        <v>-1</v>
      </c>
      <c r="E86" s="38" t="b">
        <f>IF( D86 &gt; -1, HYPERLINK($E$7 &amp; D86))</f>
        <v>0</v>
      </c>
      <c r="F86" t="b">
        <f>IF(D86&gt;-1, GetHypeRaw(E86,""))</f>
        <v>0</v>
      </c>
    </row>
    <row r="87" spans="2:6" x14ac:dyDescent="0.25">
      <c r="B87" s="20"/>
      <c r="C87" s="26"/>
      <c r="D87" s="17">
        <f>MAX(CHAIN_HEIGHT-(ROW() - ROW(Table9[[#Headers],[block-id]])),-1)</f>
        <v>-1</v>
      </c>
      <c r="E87" s="38" t="b">
        <f>IF( D87 &gt; -1, HYPERLINK($E$7 &amp; D87))</f>
        <v>0</v>
      </c>
      <c r="F87" t="b">
        <f>IF(D87&gt;-1, GetHypeRaw(E87,""))</f>
        <v>0</v>
      </c>
    </row>
    <row r="88" spans="2:6" x14ac:dyDescent="0.25">
      <c r="B88" s="20"/>
      <c r="C88" s="26"/>
      <c r="D88" s="17">
        <f>MAX(CHAIN_HEIGHT-(ROW() - ROW(Table9[[#Headers],[block-id]])),-1)</f>
        <v>-1</v>
      </c>
      <c r="E88" s="38" t="b">
        <f>IF( D88 &gt; -1, HYPERLINK($E$7 &amp; D88))</f>
        <v>0</v>
      </c>
      <c r="F88" t="b">
        <f>IF(D88&gt;-1, GetHypeRaw(E88,""))</f>
        <v>0</v>
      </c>
    </row>
    <row r="89" spans="2:6" x14ac:dyDescent="0.25">
      <c r="B89" s="20"/>
      <c r="C89" s="26"/>
      <c r="D89" s="17">
        <f>MAX(CHAIN_HEIGHT-(ROW() - ROW(Table9[[#Headers],[block-id]])),-1)</f>
        <v>-1</v>
      </c>
      <c r="E89" s="38" t="b">
        <f>IF( D89 &gt; -1, HYPERLINK($E$7 &amp; D89))</f>
        <v>0</v>
      </c>
      <c r="F89" t="b">
        <f>IF(D89&gt;-1, GetHypeRaw(E89,""))</f>
        <v>0</v>
      </c>
    </row>
    <row r="90" spans="2:6" x14ac:dyDescent="0.25">
      <c r="B90" s="20"/>
      <c r="C90" s="26"/>
      <c r="D90" s="17">
        <f>MAX(CHAIN_HEIGHT-(ROW() - ROW(Table9[[#Headers],[block-id]])),-1)</f>
        <v>-1</v>
      </c>
      <c r="E90" s="38" t="b">
        <f>IF( D90 &gt; -1, HYPERLINK($E$7 &amp; D90))</f>
        <v>0</v>
      </c>
      <c r="F90" t="b">
        <f>IF(D90&gt;-1, GetHypeRaw(E90,""))</f>
        <v>0</v>
      </c>
    </row>
    <row r="91" spans="2:6" x14ac:dyDescent="0.25">
      <c r="B91" s="20"/>
      <c r="C91" s="26"/>
      <c r="D91" s="17">
        <f>MAX(CHAIN_HEIGHT-(ROW() - ROW(Table9[[#Headers],[block-id]])),-1)</f>
        <v>-1</v>
      </c>
      <c r="E91" s="38" t="b">
        <f>IF( D91 &gt; -1, HYPERLINK($E$7 &amp; D91))</f>
        <v>0</v>
      </c>
      <c r="F91" t="b">
        <f>IF(D91&gt;-1, GetHypeRaw(E91,""))</f>
        <v>0</v>
      </c>
    </row>
    <row r="92" spans="2:6" x14ac:dyDescent="0.25">
      <c r="B92" s="20"/>
      <c r="C92" s="26"/>
      <c r="D92" s="17">
        <f>MAX(CHAIN_HEIGHT-(ROW() - ROW(Table9[[#Headers],[block-id]])),-1)</f>
        <v>-1</v>
      </c>
      <c r="E92" s="38" t="b">
        <f>IF( D92 &gt; -1, HYPERLINK($E$7 &amp; D92))</f>
        <v>0</v>
      </c>
      <c r="F92" t="b">
        <f>IF(D92&gt;-1, GetHypeRaw(E92,""))</f>
        <v>0</v>
      </c>
    </row>
    <row r="93" spans="2:6" x14ac:dyDescent="0.25">
      <c r="B93" s="20"/>
      <c r="C93" s="26"/>
      <c r="D93" s="17">
        <f>MAX(CHAIN_HEIGHT-(ROW() - ROW(Table9[[#Headers],[block-id]])),-1)</f>
        <v>-1</v>
      </c>
      <c r="E93" s="38" t="b">
        <f>IF( D93 &gt; -1, HYPERLINK($E$7 &amp; D93))</f>
        <v>0</v>
      </c>
      <c r="F93" t="b">
        <f>IF(D93&gt;-1, GetHypeRaw(E93,""))</f>
        <v>0</v>
      </c>
    </row>
    <row r="94" spans="2:6" x14ac:dyDescent="0.25">
      <c r="B94" s="20"/>
      <c r="C94" s="26"/>
      <c r="D94" s="17">
        <f>MAX(CHAIN_HEIGHT-(ROW() - ROW(Table9[[#Headers],[block-id]])),-1)</f>
        <v>-1</v>
      </c>
      <c r="E94" s="38" t="b">
        <f>IF( D94 &gt; -1, HYPERLINK($E$7 &amp; D94))</f>
        <v>0</v>
      </c>
      <c r="F94" t="b">
        <f>IF(D94&gt;-1, GetHypeRaw(E94,""))</f>
        <v>0</v>
      </c>
    </row>
    <row r="95" spans="2:6" x14ac:dyDescent="0.25">
      <c r="B95" s="20"/>
      <c r="C95" s="26"/>
      <c r="D95" s="17">
        <f>MAX(CHAIN_HEIGHT-(ROW() - ROW(Table9[[#Headers],[block-id]])),-1)</f>
        <v>-1</v>
      </c>
      <c r="E95" s="38" t="b">
        <f>IF( D95 &gt; -1, HYPERLINK($E$7 &amp; D95))</f>
        <v>0</v>
      </c>
      <c r="F95" t="b">
        <f>IF(D95&gt;-1, GetHypeRaw(E95,""))</f>
        <v>0</v>
      </c>
    </row>
    <row r="96" spans="2:6" x14ac:dyDescent="0.25">
      <c r="B96" s="20"/>
      <c r="C96" s="26"/>
      <c r="D96" s="17">
        <f>MAX(CHAIN_HEIGHT-(ROW() - ROW(Table9[[#Headers],[block-id]])),-1)</f>
        <v>-1</v>
      </c>
      <c r="E96" s="38" t="b">
        <f>IF( D96 &gt; -1, HYPERLINK($E$7 &amp; D96))</f>
        <v>0</v>
      </c>
      <c r="F96" t="b">
        <f>IF(D96&gt;-1, GetHypeRaw(E96,""))</f>
        <v>0</v>
      </c>
    </row>
    <row r="97" spans="2:6" x14ac:dyDescent="0.25">
      <c r="B97" s="20"/>
      <c r="C97" s="26"/>
      <c r="D97" s="17">
        <f>MAX(CHAIN_HEIGHT-(ROW() - ROW(Table9[[#Headers],[block-id]])),-1)</f>
        <v>-1</v>
      </c>
      <c r="E97" s="38" t="b">
        <f>IF( D97 &gt; -1, HYPERLINK($E$7 &amp; D97))</f>
        <v>0</v>
      </c>
      <c r="F97" t="b">
        <f>IF(D97&gt;-1, GetHypeRaw(E97,""))</f>
        <v>0</v>
      </c>
    </row>
    <row r="98" spans="2:6" x14ac:dyDescent="0.25">
      <c r="B98" s="20"/>
      <c r="C98" s="26"/>
      <c r="D98" s="17">
        <f>MAX(CHAIN_HEIGHT-(ROW() - ROW(Table9[[#Headers],[block-id]])),-1)</f>
        <v>-1</v>
      </c>
      <c r="E98" s="38" t="b">
        <f>IF( D98 &gt; -1, HYPERLINK($E$7 &amp; D98))</f>
        <v>0</v>
      </c>
      <c r="F98" t="b">
        <f>IF(D98&gt;-1, GetHypeRaw(E98,""))</f>
        <v>0</v>
      </c>
    </row>
    <row r="99" spans="2:6" x14ac:dyDescent="0.25">
      <c r="B99" s="20"/>
      <c r="C99" s="26"/>
      <c r="D99" s="17">
        <f>MAX(CHAIN_HEIGHT-(ROW() - ROW(Table9[[#Headers],[block-id]])),-1)</f>
        <v>-1</v>
      </c>
      <c r="E99" s="38" t="b">
        <f>IF( D99 &gt; -1, HYPERLINK($E$7 &amp; D99))</f>
        <v>0</v>
      </c>
      <c r="F99" t="b">
        <f>IF(D99&gt;-1, GetHypeRaw(E99,""))</f>
        <v>0</v>
      </c>
    </row>
    <row r="100" spans="2:6" x14ac:dyDescent="0.25">
      <c r="B100" s="20"/>
      <c r="C100" s="26"/>
      <c r="D100" s="17">
        <f>MAX(CHAIN_HEIGHT-(ROW() - ROW(Table9[[#Headers],[block-id]])),-1)</f>
        <v>-1</v>
      </c>
      <c r="E100" s="38" t="b">
        <f>IF( D100 &gt; -1, HYPERLINK($E$7 &amp; D100))</f>
        <v>0</v>
      </c>
      <c r="F100" t="b">
        <f>IF(D100&gt;-1, GetHypeRaw(E100,""))</f>
        <v>0</v>
      </c>
    </row>
    <row r="101" spans="2:6" x14ac:dyDescent="0.25">
      <c r="B101" s="20"/>
      <c r="C101" s="26"/>
      <c r="D101" s="17">
        <f>MAX(CHAIN_HEIGHT-(ROW() - ROW(Table9[[#Headers],[block-id]])),-1)</f>
        <v>-1</v>
      </c>
      <c r="E101" s="38" t="b">
        <f>IF( D101 &gt; -1, HYPERLINK($E$7 &amp; D101))</f>
        <v>0</v>
      </c>
      <c r="F101" t="b">
        <f>IF(D101&gt;-1, GetHypeRaw(E101,""))</f>
        <v>0</v>
      </c>
    </row>
    <row r="102" spans="2:6" x14ac:dyDescent="0.25">
      <c r="B102" s="20"/>
      <c r="C102" s="26"/>
      <c r="D102" s="17">
        <f>MAX(CHAIN_HEIGHT-(ROW() - ROW(Table9[[#Headers],[block-id]])),-1)</f>
        <v>-1</v>
      </c>
      <c r="E102" s="38" t="b">
        <f>IF( D102 &gt; -1, HYPERLINK($E$7 &amp; D102))</f>
        <v>0</v>
      </c>
      <c r="F102" t="b">
        <f>IF(D102&gt;-1, GetHypeRaw(E102,""))</f>
        <v>0</v>
      </c>
    </row>
    <row r="103" spans="2:6" x14ac:dyDescent="0.25">
      <c r="B103" s="20"/>
      <c r="C103" s="26"/>
      <c r="D103" s="17">
        <f>MAX(CHAIN_HEIGHT-(ROW() - ROW(Table9[[#Headers],[block-id]])),-1)</f>
        <v>-1</v>
      </c>
      <c r="E103" s="38" t="b">
        <f>IF( D103 &gt; -1, HYPERLINK($E$7 &amp; D103))</f>
        <v>0</v>
      </c>
      <c r="F103" t="b">
        <f>IF(D103&gt;-1, GetHypeRaw(E103,""))</f>
        <v>0</v>
      </c>
    </row>
    <row r="104" spans="2:6" x14ac:dyDescent="0.25">
      <c r="B104" s="20"/>
      <c r="C104" s="26"/>
      <c r="D104" s="17">
        <f>MAX(CHAIN_HEIGHT-(ROW() - ROW(Table9[[#Headers],[block-id]])),-1)</f>
        <v>-1</v>
      </c>
      <c r="E104" s="38" t="b">
        <f>IF( D104 &gt; -1, HYPERLINK($E$7 &amp; D104))</f>
        <v>0</v>
      </c>
      <c r="F104" t="b">
        <f>IF(D104&gt;-1, GetHypeRaw(E104,""))</f>
        <v>0</v>
      </c>
    </row>
    <row r="105" spans="2:6" x14ac:dyDescent="0.25">
      <c r="B105" s="20"/>
      <c r="C105" s="26"/>
      <c r="D105" s="17">
        <f>MAX(CHAIN_HEIGHT-(ROW() - ROW(Table9[[#Headers],[block-id]])),-1)</f>
        <v>-1</v>
      </c>
      <c r="E105" s="38" t="b">
        <f>IF( D105 &gt; -1, HYPERLINK($E$7 &amp; D105))</f>
        <v>0</v>
      </c>
      <c r="F105" t="b">
        <f>IF(D105&gt;-1, GetHypeRaw(E105,""))</f>
        <v>0</v>
      </c>
    </row>
    <row r="106" spans="2:6" x14ac:dyDescent="0.25">
      <c r="B106" s="20"/>
      <c r="C106" s="26"/>
      <c r="D106" s="17">
        <f>MAX(CHAIN_HEIGHT-(ROW() - ROW(Table9[[#Headers],[block-id]])),-1)</f>
        <v>-1</v>
      </c>
      <c r="E106" s="38" t="b">
        <f>IF( D106 &gt; -1, HYPERLINK($E$7 &amp; D106))</f>
        <v>0</v>
      </c>
      <c r="F106" t="b">
        <f>IF(D106&gt;-1, GetHypeRaw(E106,""))</f>
        <v>0</v>
      </c>
    </row>
    <row r="107" spans="2:6" x14ac:dyDescent="0.25">
      <c r="B107" s="20"/>
      <c r="C107" s="26"/>
      <c r="D107" s="17">
        <f>MAX(CHAIN_HEIGHT-(ROW() - ROW(Table9[[#Headers],[block-id]])),-1)</f>
        <v>-1</v>
      </c>
      <c r="E107" s="38" t="b">
        <f>IF( D107 &gt; -1, HYPERLINK($E$7 &amp; D107))</f>
        <v>0</v>
      </c>
      <c r="F107" t="b">
        <f>IF(D107&gt;-1, GetHypeRaw(E107,""))</f>
        <v>0</v>
      </c>
    </row>
    <row r="108" spans="2:6" x14ac:dyDescent="0.25">
      <c r="B108" s="20"/>
      <c r="C108" s="26"/>
      <c r="D108" s="17">
        <f>MAX(CHAIN_HEIGHT-(ROW() - ROW(Table9[[#Headers],[block-id]])),-1)</f>
        <v>-1</v>
      </c>
      <c r="E108" s="38" t="b">
        <f>IF( D108 &gt; -1, HYPERLINK($E$7 &amp; D108))</f>
        <v>0</v>
      </c>
      <c r="F108" t="b">
        <f>IF(D108&gt;-1, GetHypeRaw(E108,""))</f>
        <v>0</v>
      </c>
    </row>
    <row r="109" spans="2:6" x14ac:dyDescent="0.25">
      <c r="B109" s="20"/>
      <c r="C109" s="26"/>
      <c r="D109" s="17">
        <f>MAX(CHAIN_HEIGHT-(ROW() - ROW(Table9[[#Headers],[block-id]])),-1)</f>
        <v>-1</v>
      </c>
      <c r="E109" s="38" t="b">
        <f>IF( D109 &gt; -1, HYPERLINK($E$7 &amp; D109))</f>
        <v>0</v>
      </c>
      <c r="F109" t="b">
        <f>IF(D109&gt;-1, GetHypeRaw(E109,""))</f>
        <v>0</v>
      </c>
    </row>
    <row r="110" spans="2:6" x14ac:dyDescent="0.25">
      <c r="B110" s="20"/>
      <c r="C110" s="26"/>
      <c r="D110" s="17">
        <f>MAX(CHAIN_HEIGHT-(ROW() - ROW(Table9[[#Headers],[block-id]])),-1)</f>
        <v>-1</v>
      </c>
      <c r="E110" s="38" t="b">
        <f>IF( D110 &gt; -1, HYPERLINK($E$7 &amp; D110))</f>
        <v>0</v>
      </c>
      <c r="F110" t="b">
        <f>IF(D110&gt;-1, GetHypeRaw(E110,""))</f>
        <v>0</v>
      </c>
    </row>
    <row r="111" spans="2:6" x14ac:dyDescent="0.25">
      <c r="B111" s="20"/>
      <c r="C111" s="26"/>
      <c r="D111" s="17">
        <f>MAX(CHAIN_HEIGHT-(ROW() - ROW(Table9[[#Headers],[block-id]])),-1)</f>
        <v>-1</v>
      </c>
      <c r="E111" s="38" t="b">
        <f>IF( D111 &gt; -1, HYPERLINK($E$7 &amp; D111))</f>
        <v>0</v>
      </c>
      <c r="F111" t="b">
        <f>IF(D111&gt;-1, GetHypeRaw(E111,""))</f>
        <v>0</v>
      </c>
    </row>
    <row r="112" spans="2:6" x14ac:dyDescent="0.25">
      <c r="B112" s="20"/>
      <c r="C112" s="26"/>
      <c r="D112" s="17">
        <f>MAX(CHAIN_HEIGHT-(ROW() - ROW(Table9[[#Headers],[block-id]])),-1)</f>
        <v>-1</v>
      </c>
      <c r="E112" s="38" t="b">
        <f>IF( D112 &gt; -1, HYPERLINK($E$7 &amp; D112))</f>
        <v>0</v>
      </c>
      <c r="F112" t="b">
        <f>IF(D112&gt;-1, GetHypeRaw(E112,""))</f>
        <v>0</v>
      </c>
    </row>
    <row r="113" spans="2:6" x14ac:dyDescent="0.25">
      <c r="B113" s="20"/>
      <c r="C113" s="26"/>
      <c r="D113" s="17">
        <f>MAX(CHAIN_HEIGHT-(ROW() - ROW(Table9[[#Headers],[block-id]])),-1)</f>
        <v>-1</v>
      </c>
      <c r="E113" s="38" t="b">
        <f>IF( D113 &gt; -1, HYPERLINK($E$7 &amp; D113))</f>
        <v>0</v>
      </c>
      <c r="F113" t="b">
        <f>IF(D113&gt;-1, GetHypeRaw(E113,""))</f>
        <v>0</v>
      </c>
    </row>
    <row r="114" spans="2:6" x14ac:dyDescent="0.25">
      <c r="B114" s="20"/>
      <c r="C114" s="26"/>
      <c r="D114" s="17">
        <f>MAX(CHAIN_HEIGHT-(ROW() - ROW(Table9[[#Headers],[block-id]])),-1)</f>
        <v>-1</v>
      </c>
      <c r="E114" s="38" t="b">
        <f>IF( D114 &gt; -1, HYPERLINK($E$7 &amp; D114))</f>
        <v>0</v>
      </c>
      <c r="F114" t="b">
        <f>IF(D114&gt;-1, GetHypeRaw(E114,""))</f>
        <v>0</v>
      </c>
    </row>
    <row r="115" spans="2:6" x14ac:dyDescent="0.25">
      <c r="B115" s="20"/>
      <c r="C115" s="26"/>
      <c r="D115" s="17">
        <f>MAX(CHAIN_HEIGHT-(ROW() - ROW(Table9[[#Headers],[block-id]])),-1)</f>
        <v>-1</v>
      </c>
      <c r="E115" s="38" t="b">
        <f>IF( D115 &gt; -1, HYPERLINK($E$7 &amp; D115))</f>
        <v>0</v>
      </c>
      <c r="F115" t="b">
        <f>IF(D115&gt;-1, GetHypeRaw(E115,""))</f>
        <v>0</v>
      </c>
    </row>
    <row r="116" spans="2:6" x14ac:dyDescent="0.25">
      <c r="B116" s="20"/>
      <c r="C116" s="26"/>
      <c r="D116" s="17">
        <f>MAX(CHAIN_HEIGHT-(ROW() - ROW(Table9[[#Headers],[block-id]])),-1)</f>
        <v>-1</v>
      </c>
      <c r="E116" s="38" t="b">
        <f>IF( D116 &gt; -1, HYPERLINK($E$7 &amp; D116))</f>
        <v>0</v>
      </c>
      <c r="F116" t="b">
        <f>IF(D116&gt;-1, GetHypeRaw(E116,""))</f>
        <v>0</v>
      </c>
    </row>
    <row r="117" spans="2:6" x14ac:dyDescent="0.25">
      <c r="B117" s="20"/>
      <c r="C117" s="26"/>
      <c r="D117" s="17">
        <f>MAX(CHAIN_HEIGHT-(ROW() - ROW(Table9[[#Headers],[block-id]])),-1)</f>
        <v>-1</v>
      </c>
      <c r="E117" s="38" t="b">
        <f>IF( D117 &gt; -1, HYPERLINK($E$7 &amp; D117))</f>
        <v>0</v>
      </c>
      <c r="F117" t="b">
        <f>IF(D117&gt;-1, GetHypeRaw(E117,""))</f>
        <v>0</v>
      </c>
    </row>
    <row r="118" spans="2:6" x14ac:dyDescent="0.25">
      <c r="B118" s="20"/>
      <c r="C118" s="26"/>
      <c r="D118" s="17">
        <f>MAX(CHAIN_HEIGHT-(ROW() - ROW(Table9[[#Headers],[block-id]])),-1)</f>
        <v>-1</v>
      </c>
      <c r="E118" s="38" t="b">
        <f>IF( D118 &gt; -1, HYPERLINK($E$7 &amp; D118))</f>
        <v>0</v>
      </c>
      <c r="F118" t="b">
        <f>IF(D118&gt;-1, GetHypeRaw(E118,""))</f>
        <v>0</v>
      </c>
    </row>
    <row r="119" spans="2:6" x14ac:dyDescent="0.25">
      <c r="B119" s="20"/>
      <c r="C119" s="26"/>
      <c r="D119" s="17">
        <f>MAX(CHAIN_HEIGHT-(ROW() - ROW(Table9[[#Headers],[block-id]])),-1)</f>
        <v>-1</v>
      </c>
      <c r="E119" s="38" t="b">
        <f>IF( D119 &gt; -1, HYPERLINK($E$7 &amp; D119))</f>
        <v>0</v>
      </c>
      <c r="F119" t="b">
        <f>IF(D119&gt;-1, GetHypeRaw(E119,""))</f>
        <v>0</v>
      </c>
    </row>
    <row r="120" spans="2:6" x14ac:dyDescent="0.25">
      <c r="B120" s="20"/>
      <c r="C120" s="26"/>
      <c r="D120" s="17">
        <f>MAX(CHAIN_HEIGHT-(ROW() - ROW(Table9[[#Headers],[block-id]])),-1)</f>
        <v>-1</v>
      </c>
      <c r="E120" s="38" t="b">
        <f>IF( D120 &gt; -1, HYPERLINK($E$7 &amp; D120))</f>
        <v>0</v>
      </c>
      <c r="F120" t="b">
        <f>IF(D120&gt;-1, GetHypeRaw(E120,""))</f>
        <v>0</v>
      </c>
    </row>
    <row r="121" spans="2:6" x14ac:dyDescent="0.25">
      <c r="B121" s="20"/>
      <c r="C121" s="26"/>
      <c r="D121" s="17">
        <f>MAX(CHAIN_HEIGHT-(ROW() - ROW(Table9[[#Headers],[block-id]])),-1)</f>
        <v>-1</v>
      </c>
      <c r="E121" s="38" t="b">
        <f>IF( D121 &gt; -1, HYPERLINK($E$7 &amp; D121))</f>
        <v>0</v>
      </c>
      <c r="F121" t="b">
        <f>IF(D121&gt;-1, GetHypeRaw(E121,""))</f>
        <v>0</v>
      </c>
    </row>
    <row r="122" spans="2:6" x14ac:dyDescent="0.25">
      <c r="B122" s="20"/>
      <c r="C122" s="26"/>
      <c r="D122" s="17">
        <f>MAX(CHAIN_HEIGHT-(ROW() - ROW(Table9[[#Headers],[block-id]])),-1)</f>
        <v>-1</v>
      </c>
      <c r="E122" s="38" t="b">
        <f>IF( D122 &gt; -1, HYPERLINK($E$7 &amp; D122))</f>
        <v>0</v>
      </c>
      <c r="F122" t="b">
        <f>IF(D122&gt;-1, GetHypeRaw(E122,""))</f>
        <v>0</v>
      </c>
    </row>
    <row r="123" spans="2:6" x14ac:dyDescent="0.25">
      <c r="B123" s="20"/>
      <c r="C123" s="26"/>
      <c r="D123" s="17">
        <f>MAX(CHAIN_HEIGHT-(ROW() - ROW(Table9[[#Headers],[block-id]])),-1)</f>
        <v>-1</v>
      </c>
      <c r="E123" s="38" t="b">
        <f>IF( D123 &gt; -1, HYPERLINK($E$7 &amp; D123))</f>
        <v>0</v>
      </c>
      <c r="F123" t="b">
        <f>IF(D123&gt;-1, GetHypeRaw(E123,""))</f>
        <v>0</v>
      </c>
    </row>
    <row r="124" spans="2:6" x14ac:dyDescent="0.25">
      <c r="B124" s="20"/>
      <c r="C124" s="26"/>
      <c r="D124" s="17">
        <f>MAX(CHAIN_HEIGHT-(ROW() - ROW(Table9[[#Headers],[block-id]])),-1)</f>
        <v>-1</v>
      </c>
      <c r="E124" s="38" t="b">
        <f>IF( D124 &gt; -1, HYPERLINK($E$7 &amp; D124))</f>
        <v>0</v>
      </c>
      <c r="F124" t="b">
        <f>IF(D124&gt;-1, GetHypeRaw(E124,""))</f>
        <v>0</v>
      </c>
    </row>
    <row r="125" spans="2:6" x14ac:dyDescent="0.25">
      <c r="B125" s="20"/>
      <c r="C125" s="26"/>
      <c r="D125" s="17">
        <f>MAX(CHAIN_HEIGHT-(ROW() - ROW(Table9[[#Headers],[block-id]])),-1)</f>
        <v>-1</v>
      </c>
      <c r="E125" s="38" t="b">
        <f>IF( D125 &gt; -1, HYPERLINK($E$7 &amp; D125))</f>
        <v>0</v>
      </c>
      <c r="F125" t="b">
        <f>IF(D125&gt;-1, GetHypeRaw(E125,""))</f>
        <v>0</v>
      </c>
    </row>
    <row r="126" spans="2:6" x14ac:dyDescent="0.25">
      <c r="B126" s="20"/>
      <c r="C126" s="26"/>
      <c r="D126" s="17">
        <f>MAX(CHAIN_HEIGHT-(ROW() - ROW(Table9[[#Headers],[block-id]])),-1)</f>
        <v>-1</v>
      </c>
      <c r="E126" s="38" t="b">
        <f>IF( D126 &gt; -1, HYPERLINK($E$7 &amp; D126))</f>
        <v>0</v>
      </c>
      <c r="F126" t="b">
        <f>IF(D126&gt;-1, GetHypeRaw(E126,""))</f>
        <v>0</v>
      </c>
    </row>
    <row r="127" spans="2:6" x14ac:dyDescent="0.25">
      <c r="B127" s="20"/>
      <c r="C127" s="26"/>
      <c r="D127" s="17">
        <f>MAX(CHAIN_HEIGHT-(ROW() - ROW(Table9[[#Headers],[block-id]])),-1)</f>
        <v>-1</v>
      </c>
      <c r="E127" s="38" t="b">
        <f>IF( D127 &gt; -1, HYPERLINK($E$7 &amp; D127))</f>
        <v>0</v>
      </c>
      <c r="F127" t="b">
        <f>IF(D127&gt;-1, GetHypeRaw(E127,""))</f>
        <v>0</v>
      </c>
    </row>
    <row r="128" spans="2:6" x14ac:dyDescent="0.25">
      <c r="B128" s="20"/>
      <c r="C128" s="26"/>
      <c r="D128" s="17">
        <f>MAX(CHAIN_HEIGHT-(ROW() - ROW(Table9[[#Headers],[block-id]])),-1)</f>
        <v>-1</v>
      </c>
      <c r="E128" s="38" t="b">
        <f>IF( D128 &gt; -1, HYPERLINK($E$7 &amp; D128))</f>
        <v>0</v>
      </c>
      <c r="F128" t="b">
        <f>IF(D128&gt;-1, GetHypeRaw(E128,""))</f>
        <v>0</v>
      </c>
    </row>
    <row r="129" spans="2:6" x14ac:dyDescent="0.25">
      <c r="B129" s="20"/>
      <c r="C129" s="26"/>
      <c r="D129" s="17">
        <f>MAX(CHAIN_HEIGHT-(ROW() - ROW(Table9[[#Headers],[block-id]])),-1)</f>
        <v>-1</v>
      </c>
      <c r="E129" s="38" t="b">
        <f>IF( D129 &gt; -1, HYPERLINK($E$7 &amp; D129))</f>
        <v>0</v>
      </c>
      <c r="F129" t="b">
        <f>IF(D129&gt;-1, GetHypeRaw(E129,""))</f>
        <v>0</v>
      </c>
    </row>
    <row r="130" spans="2:6" x14ac:dyDescent="0.25">
      <c r="B130" s="20"/>
      <c r="C130" s="26"/>
      <c r="D130" s="17">
        <f>MAX(CHAIN_HEIGHT-(ROW() - ROW(Table9[[#Headers],[block-id]])),-1)</f>
        <v>-1</v>
      </c>
      <c r="E130" s="38" t="b">
        <f>IF( D130 &gt; -1, HYPERLINK($E$7 &amp; D130))</f>
        <v>0</v>
      </c>
      <c r="F130" t="b">
        <f>IF(D130&gt;-1, GetHypeRaw(E130,""))</f>
        <v>0</v>
      </c>
    </row>
    <row r="131" spans="2:6" x14ac:dyDescent="0.25">
      <c r="B131" s="20"/>
      <c r="C131" s="26"/>
      <c r="D131" s="17">
        <f>MAX(CHAIN_HEIGHT-(ROW() - ROW(Table9[[#Headers],[block-id]])),-1)</f>
        <v>-1</v>
      </c>
      <c r="E131" s="38" t="b">
        <f>IF( D131 &gt; -1, HYPERLINK($E$7 &amp; D131))</f>
        <v>0</v>
      </c>
      <c r="F131" t="b">
        <f>IF(D131&gt;-1, GetHypeRaw(E131,""))</f>
        <v>0</v>
      </c>
    </row>
    <row r="132" spans="2:6" x14ac:dyDescent="0.25">
      <c r="B132" s="20"/>
      <c r="C132" s="26"/>
      <c r="D132" s="17">
        <f>MAX(CHAIN_HEIGHT-(ROW() - ROW(Table9[[#Headers],[block-id]])),-1)</f>
        <v>-1</v>
      </c>
      <c r="E132" s="38" t="b">
        <f>IF( D132 &gt; -1, HYPERLINK($E$7 &amp; D132))</f>
        <v>0</v>
      </c>
      <c r="F132" t="b">
        <f>IF(D132&gt;-1, GetHypeRaw(E132,""))</f>
        <v>0</v>
      </c>
    </row>
    <row r="133" spans="2:6" x14ac:dyDescent="0.25">
      <c r="B133" s="20"/>
      <c r="C133" s="26"/>
      <c r="D133" s="17">
        <f>MAX(CHAIN_HEIGHT-(ROW() - ROW(Table9[[#Headers],[block-id]])),-1)</f>
        <v>-1</v>
      </c>
      <c r="E133" s="38" t="b">
        <f>IF( D133 &gt; -1, HYPERLINK($E$7 &amp; D133))</f>
        <v>0</v>
      </c>
      <c r="F133" t="b">
        <f>IF(D133&gt;-1, GetHypeRaw(E133,""))</f>
        <v>0</v>
      </c>
    </row>
    <row r="134" spans="2:6" x14ac:dyDescent="0.25">
      <c r="B134" s="20"/>
      <c r="C134" s="26"/>
      <c r="D134" s="17">
        <f>MAX(CHAIN_HEIGHT-(ROW() - ROW(Table9[[#Headers],[block-id]])),-1)</f>
        <v>-1</v>
      </c>
      <c r="E134" s="38" t="b">
        <f>IF( D134 &gt; -1, HYPERLINK($E$7 &amp; D134))</f>
        <v>0</v>
      </c>
      <c r="F134" t="b">
        <f>IF(D134&gt;-1, GetHypeRaw(E134,""))</f>
        <v>0</v>
      </c>
    </row>
    <row r="135" spans="2:6" x14ac:dyDescent="0.25">
      <c r="B135" s="20"/>
      <c r="C135" s="26"/>
      <c r="D135" s="17">
        <f>MAX(CHAIN_HEIGHT-(ROW() - ROW(Table9[[#Headers],[block-id]])),-1)</f>
        <v>-1</v>
      </c>
      <c r="E135" s="38" t="b">
        <f>IF( D135 &gt; -1, HYPERLINK($E$7 &amp; D135))</f>
        <v>0</v>
      </c>
      <c r="F135" t="b">
        <f>IF(D135&gt;-1, GetHypeRaw(E135,""))</f>
        <v>0</v>
      </c>
    </row>
    <row r="136" spans="2:6" x14ac:dyDescent="0.25">
      <c r="B136" s="20"/>
      <c r="C136" s="26"/>
      <c r="D136" s="17">
        <f>MAX(CHAIN_HEIGHT-(ROW() - ROW(Table9[[#Headers],[block-id]])),-1)</f>
        <v>-1</v>
      </c>
      <c r="E136" s="38" t="b">
        <f>IF( D136 &gt; -1, HYPERLINK($E$7 &amp; D136))</f>
        <v>0</v>
      </c>
      <c r="F136" t="b">
        <f>IF(D136&gt;-1, GetHypeRaw(E136,""))</f>
        <v>0</v>
      </c>
    </row>
    <row r="137" spans="2:6" x14ac:dyDescent="0.25">
      <c r="B137" s="20"/>
      <c r="C137" s="26"/>
      <c r="D137" s="17">
        <f>MAX(CHAIN_HEIGHT-(ROW() - ROW(Table9[[#Headers],[block-id]])),-1)</f>
        <v>-1</v>
      </c>
      <c r="E137" s="38" t="b">
        <f>IF( D137 &gt; -1, HYPERLINK($E$7 &amp; D137))</f>
        <v>0</v>
      </c>
      <c r="F137" t="b">
        <f>IF(D137&gt;-1, GetHypeRaw(E137,""))</f>
        <v>0</v>
      </c>
    </row>
    <row r="138" spans="2:6" x14ac:dyDescent="0.25">
      <c r="B138" s="20"/>
      <c r="C138" s="26"/>
      <c r="D138" s="17">
        <f>MAX(CHAIN_HEIGHT-(ROW() - ROW(Table9[[#Headers],[block-id]])),-1)</f>
        <v>-1</v>
      </c>
      <c r="E138" s="38" t="b">
        <f>IF( D138 &gt; -1, HYPERLINK($E$7 &amp; D138))</f>
        <v>0</v>
      </c>
      <c r="F138" t="b">
        <f>IF(D138&gt;-1, GetHypeRaw(E138,""))</f>
        <v>0</v>
      </c>
    </row>
    <row r="139" spans="2:6" x14ac:dyDescent="0.25">
      <c r="B139" s="20"/>
      <c r="C139" s="26"/>
      <c r="D139" s="17">
        <f>MAX(CHAIN_HEIGHT-(ROW() - ROW(Table9[[#Headers],[block-id]])),-1)</f>
        <v>-1</v>
      </c>
      <c r="E139" s="38" t="b">
        <f>IF( D139 &gt; -1, HYPERLINK($E$7 &amp; D139))</f>
        <v>0</v>
      </c>
      <c r="F139" t="b">
        <f>IF(D139&gt;-1, GetHypeRaw(E139,""))</f>
        <v>0</v>
      </c>
    </row>
    <row r="140" spans="2:6" x14ac:dyDescent="0.25">
      <c r="B140" s="20"/>
      <c r="C140" s="26"/>
      <c r="D140" s="17">
        <f>MAX(CHAIN_HEIGHT-(ROW() - ROW(Table9[[#Headers],[block-id]])),-1)</f>
        <v>-1</v>
      </c>
      <c r="E140" s="38" t="b">
        <f>IF( D140 &gt; -1, HYPERLINK($E$7 &amp; D140))</f>
        <v>0</v>
      </c>
      <c r="F140" t="b">
        <f>IF(D140&gt;-1, GetHypeRaw(E140,""))</f>
        <v>0</v>
      </c>
    </row>
    <row r="141" spans="2:6" x14ac:dyDescent="0.25">
      <c r="B141" s="20"/>
      <c r="C141" s="26"/>
      <c r="D141" s="17">
        <f>MAX(CHAIN_HEIGHT-(ROW() - ROW(Table9[[#Headers],[block-id]])),-1)</f>
        <v>-1</v>
      </c>
      <c r="E141" s="38" t="b">
        <f>IF( D141 &gt; -1, HYPERLINK($E$7 &amp; D141))</f>
        <v>0</v>
      </c>
      <c r="F141" t="b">
        <f>IF(D141&gt;-1, GetHypeRaw(E141,""))</f>
        <v>0</v>
      </c>
    </row>
    <row r="142" spans="2:6" x14ac:dyDescent="0.25">
      <c r="B142" s="20"/>
      <c r="C142" s="26"/>
      <c r="D142" s="17">
        <f>MAX(CHAIN_HEIGHT-(ROW() - ROW(Table9[[#Headers],[block-id]])),-1)</f>
        <v>-1</v>
      </c>
      <c r="E142" s="38" t="b">
        <f>IF( D142 &gt; -1, HYPERLINK($E$7 &amp; D142))</f>
        <v>0</v>
      </c>
      <c r="F142" t="b">
        <f>IF(D142&gt;-1, GetHypeRaw(E142,""))</f>
        <v>0</v>
      </c>
    </row>
    <row r="143" spans="2:6" x14ac:dyDescent="0.25">
      <c r="B143" s="20"/>
      <c r="C143" s="26"/>
      <c r="D143" s="17">
        <f>MAX(CHAIN_HEIGHT-(ROW() - ROW(Table9[[#Headers],[block-id]])),-1)</f>
        <v>-1</v>
      </c>
      <c r="E143" s="38" t="b">
        <f>IF( D143 &gt; -1, HYPERLINK($E$7 &amp; D143))</f>
        <v>0</v>
      </c>
      <c r="F143" t="b">
        <f>IF(D143&gt;-1, GetHypeRaw(E143,""))</f>
        <v>0</v>
      </c>
    </row>
    <row r="144" spans="2:6" x14ac:dyDescent="0.25">
      <c r="B144" s="20"/>
      <c r="C144" s="26"/>
      <c r="D144" s="17">
        <f>MAX(CHAIN_HEIGHT-(ROW() - ROW(Table9[[#Headers],[block-id]])),-1)</f>
        <v>-1</v>
      </c>
      <c r="E144" s="38" t="b">
        <f>IF( D144 &gt; -1, HYPERLINK($E$7 &amp; D144))</f>
        <v>0</v>
      </c>
      <c r="F144" t="b">
        <f>IF(D144&gt;-1, GetHypeRaw(E144,""))</f>
        <v>0</v>
      </c>
    </row>
    <row r="145" spans="2:6" x14ac:dyDescent="0.25">
      <c r="B145" s="20"/>
      <c r="C145" s="26"/>
      <c r="D145" s="17">
        <f>MAX(CHAIN_HEIGHT-(ROW() - ROW(Table9[[#Headers],[block-id]])),-1)</f>
        <v>-1</v>
      </c>
      <c r="E145" s="38" t="b">
        <f>IF( D145 &gt; -1, HYPERLINK($E$7 &amp; D145))</f>
        <v>0</v>
      </c>
      <c r="F145" t="b">
        <f>IF(D145&gt;-1, GetHypeRaw(E145,""))</f>
        <v>0</v>
      </c>
    </row>
    <row r="146" spans="2:6" x14ac:dyDescent="0.25">
      <c r="B146" s="20"/>
      <c r="C146" s="26"/>
      <c r="D146" s="17">
        <f>MAX(CHAIN_HEIGHT-(ROW() - ROW(Table9[[#Headers],[block-id]])),-1)</f>
        <v>-1</v>
      </c>
      <c r="E146" s="38" t="b">
        <f>IF( D146 &gt; -1, HYPERLINK($E$7 &amp; D146))</f>
        <v>0</v>
      </c>
      <c r="F146" t="b">
        <f>IF(D146&gt;-1, GetHypeRaw(E146,""))</f>
        <v>0</v>
      </c>
    </row>
    <row r="147" spans="2:6" x14ac:dyDescent="0.25">
      <c r="B147" s="20"/>
      <c r="C147" s="26"/>
      <c r="D147" s="17">
        <f>MAX(CHAIN_HEIGHT-(ROW() - ROW(Table9[[#Headers],[block-id]])),-1)</f>
        <v>-1</v>
      </c>
      <c r="E147" s="38" t="b">
        <f>IF( D147 &gt; -1, HYPERLINK($E$7 &amp; D147))</f>
        <v>0</v>
      </c>
      <c r="F147" t="b">
        <f>IF(D147&gt;-1, GetHypeRaw(E147,""))</f>
        <v>0</v>
      </c>
    </row>
    <row r="148" spans="2:6" x14ac:dyDescent="0.25">
      <c r="B148" s="20"/>
      <c r="C148" s="26"/>
      <c r="D148" s="17">
        <f>MAX(CHAIN_HEIGHT-(ROW() - ROW(Table9[[#Headers],[block-id]])),-1)</f>
        <v>-1</v>
      </c>
      <c r="E148" s="38" t="b">
        <f>IF( D148 &gt; -1, HYPERLINK($E$7 &amp; D148))</f>
        <v>0</v>
      </c>
      <c r="F148" t="b">
        <f>IF(D148&gt;-1, GetHypeRaw(E148,""))</f>
        <v>0</v>
      </c>
    </row>
    <row r="149" spans="2:6" x14ac:dyDescent="0.25">
      <c r="B149" s="20"/>
      <c r="C149" s="26"/>
      <c r="D149" s="17">
        <f>MAX(CHAIN_HEIGHT-(ROW() - ROW(Table9[[#Headers],[block-id]])),-1)</f>
        <v>-1</v>
      </c>
      <c r="E149" s="38" t="b">
        <f>IF( D149 &gt; -1, HYPERLINK($E$7 &amp; D149))</f>
        <v>0</v>
      </c>
      <c r="F149" t="b">
        <f>IF(D149&gt;-1, GetHypeRaw(E149,""))</f>
        <v>0</v>
      </c>
    </row>
    <row r="150" spans="2:6" x14ac:dyDescent="0.25">
      <c r="B150" s="20"/>
      <c r="C150" s="26"/>
      <c r="D150" s="17">
        <f>MAX(CHAIN_HEIGHT-(ROW() - ROW(Table9[[#Headers],[block-id]])),-1)</f>
        <v>-1</v>
      </c>
      <c r="E150" s="38" t="b">
        <f>IF( D150 &gt; -1, HYPERLINK($E$7 &amp; D150))</f>
        <v>0</v>
      </c>
      <c r="F150" t="b">
        <f>IF(D150&gt;-1, GetHypeRaw(E150,""))</f>
        <v>0</v>
      </c>
    </row>
    <row r="151" spans="2:6" x14ac:dyDescent="0.25">
      <c r="B151" s="20"/>
      <c r="C151" s="26"/>
      <c r="D151" s="17">
        <f>MAX(CHAIN_HEIGHT-(ROW() - ROW(Table9[[#Headers],[block-id]])),-1)</f>
        <v>-1</v>
      </c>
      <c r="E151" s="38" t="b">
        <f>IF( D151 &gt; -1, HYPERLINK($E$7 &amp; D151))</f>
        <v>0</v>
      </c>
      <c r="F151" t="b">
        <f>IF(D151&gt;-1, GetHypeRaw(E151,""))</f>
        <v>0</v>
      </c>
    </row>
    <row r="152" spans="2:6" x14ac:dyDescent="0.25">
      <c r="B152" s="20"/>
      <c r="C152" s="26"/>
      <c r="D152" s="26"/>
      <c r="E152" s="26"/>
      <c r="F152" s="26"/>
    </row>
  </sheetData>
  <conditionalFormatting sqref="D16:D151">
    <cfRule type="cellIs" dxfId="1" priority="2" operator="equal">
      <formula>-1</formula>
    </cfRule>
  </conditionalFormatting>
  <conditionalFormatting sqref="E16:F151">
    <cfRule type="expression" dxfId="0" priority="1">
      <formula>$D16&lt;0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hain_Copy_To_Clipboard_Button_1_Click">
                <anchor moveWithCells="1" sizeWithCells="1">
                  <from>
                    <xdr:col>3</xdr:col>
                    <xdr:colOff>38100</xdr:colOff>
                    <xdr:row>6</xdr:row>
                    <xdr:rowOff>19050</xdr:rowOff>
                  </from>
                  <to>
                    <xdr:col>4</xdr:col>
                    <xdr:colOff>0</xdr:colOff>
                    <xdr:row>7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I25"/>
  <sheetViews>
    <sheetView workbookViewId="0">
      <pane xSplit="4" ySplit="11" topLeftCell="E12" activePane="bottomRight" state="frozen"/>
      <selection pane="topRight" activeCell="E1" sqref="E1"/>
      <selection pane="bottomLeft" activeCell="A12" sqref="A12"/>
      <selection pane="bottomRight" activeCell="E15" sqref="E15"/>
    </sheetView>
  </sheetViews>
  <sheetFormatPr defaultRowHeight="15" x14ac:dyDescent="0.25"/>
  <cols>
    <col min="1" max="1" width="2.42578125" customWidth="1"/>
    <col min="2" max="2" width="2.85546875" customWidth="1"/>
    <col min="3" max="3" width="31.85546875" customWidth="1"/>
    <col min="4" max="4" width="8.140625" customWidth="1"/>
    <col min="5" max="5" width="18" customWidth="1"/>
    <col min="6" max="6" width="100.42578125" customWidth="1"/>
    <col min="7" max="7" width="32.28515625" customWidth="1"/>
    <col min="8" max="8" width="31.85546875" customWidth="1"/>
    <col min="9" max="9" width="88.7109375" customWidth="1"/>
  </cols>
  <sheetData>
    <row r="2" spans="2:9" x14ac:dyDescent="0.25">
      <c r="B2" s="6" t="s">
        <v>95</v>
      </c>
      <c r="C2" s="7"/>
      <c r="D2" s="7"/>
      <c r="E2" s="7"/>
      <c r="F2" s="7"/>
      <c r="G2" s="7"/>
      <c r="H2" s="7"/>
    </row>
    <row r="3" spans="2:9" x14ac:dyDescent="0.25">
      <c r="I3" s="1"/>
    </row>
    <row r="4" spans="2:9" x14ac:dyDescent="0.25">
      <c r="B4" s="8" t="s">
        <v>5</v>
      </c>
      <c r="C4" s="9"/>
      <c r="D4" s="9"/>
      <c r="E4" s="9"/>
      <c r="F4" s="9"/>
      <c r="G4" s="9"/>
      <c r="H4" s="9"/>
      <c r="I4" s="1"/>
    </row>
    <row r="5" spans="2:9" x14ac:dyDescent="0.25">
      <c r="B5" s="9"/>
      <c r="C5" s="25" t="s">
        <v>55</v>
      </c>
      <c r="D5" s="26"/>
      <c r="E5" s="27" t="s">
        <v>4</v>
      </c>
      <c r="F5" s="26"/>
      <c r="G5" s="26"/>
      <c r="H5" s="26"/>
      <c r="I5" s="1"/>
    </row>
    <row r="6" spans="2:9" x14ac:dyDescent="0.25">
      <c r="B6" s="9"/>
      <c r="C6" s="25" t="s">
        <v>6</v>
      </c>
      <c r="D6" s="26"/>
      <c r="E6" s="26" t="s">
        <v>53</v>
      </c>
      <c r="F6" s="26"/>
      <c r="G6" s="26"/>
      <c r="H6" s="26"/>
      <c r="I6" s="1"/>
    </row>
    <row r="7" spans="2:9" x14ac:dyDescent="0.25">
      <c r="B7" s="9"/>
      <c r="C7" s="25" t="s">
        <v>73</v>
      </c>
      <c r="D7" s="26"/>
      <c r="E7" s="28" t="str">
        <f>HYPERLINK(BASE_URL &amp; E6)</f>
        <v>https://893727999f2b46a78b7316cc9eaca0e3-vp0.dev.blockchain.ibm.com:443/chain</v>
      </c>
      <c r="F7" s="26"/>
      <c r="G7" s="26"/>
      <c r="H7" s="26"/>
    </row>
    <row r="8" spans="2:9" x14ac:dyDescent="0.25">
      <c r="B8" s="9"/>
      <c r="C8" s="25" t="s">
        <v>76</v>
      </c>
      <c r="D8" s="26" t="s">
        <v>57</v>
      </c>
      <c r="E8" s="26"/>
      <c r="F8" s="26"/>
      <c r="G8" s="26"/>
      <c r="H8" s="26"/>
    </row>
    <row r="9" spans="2:9" x14ac:dyDescent="0.25">
      <c r="C9" s="4"/>
    </row>
    <row r="11" spans="2:9" x14ac:dyDescent="0.25">
      <c r="B11" s="19" t="s">
        <v>75</v>
      </c>
      <c r="C11" s="21"/>
      <c r="D11" s="21"/>
      <c r="E11" s="20"/>
      <c r="F11" s="21"/>
      <c r="G11" s="20"/>
      <c r="H11" s="20"/>
    </row>
    <row r="12" spans="2:9" x14ac:dyDescent="0.25">
      <c r="B12" s="20"/>
      <c r="C12" s="25" t="s">
        <v>58</v>
      </c>
      <c r="D12" s="26"/>
      <c r="E12" s="27">
        <v>200</v>
      </c>
      <c r="F12" s="26"/>
      <c r="G12" s="26"/>
      <c r="H12" s="26"/>
    </row>
    <row r="13" spans="2:9" x14ac:dyDescent="0.25">
      <c r="B13" s="19"/>
      <c r="C13" s="25" t="s">
        <v>59</v>
      </c>
      <c r="D13" s="25"/>
      <c r="E13" s="26" t="s">
        <v>79</v>
      </c>
      <c r="F13" s="25"/>
      <c r="G13" s="26"/>
      <c r="H13" s="26"/>
    </row>
    <row r="14" spans="2:9" x14ac:dyDescent="0.25">
      <c r="B14" s="19"/>
      <c r="C14" s="25" t="s">
        <v>54</v>
      </c>
      <c r="D14" s="25"/>
      <c r="E14" s="30" t="s">
        <v>113</v>
      </c>
      <c r="F14" s="25"/>
      <c r="G14" s="26"/>
      <c r="H14" s="26"/>
    </row>
    <row r="15" spans="2:9" x14ac:dyDescent="0.25">
      <c r="B15" s="19"/>
      <c r="C15" s="26"/>
      <c r="D15" s="25"/>
      <c r="E15" s="25"/>
      <c r="F15" s="25"/>
      <c r="G15" s="29"/>
      <c r="H15" s="29"/>
      <c r="I15" s="5"/>
    </row>
    <row r="16" spans="2:9" x14ac:dyDescent="0.25">
      <c r="B16" s="20"/>
      <c r="C16" s="25" t="s">
        <v>74</v>
      </c>
      <c r="D16" s="22" t="s">
        <v>83</v>
      </c>
      <c r="E16" s="11" t="s">
        <v>64</v>
      </c>
      <c r="F16" s="12" t="s">
        <v>65</v>
      </c>
      <c r="G16" s="13" t="s">
        <v>66</v>
      </c>
      <c r="H16" s="29"/>
    </row>
    <row r="17" spans="2:8" ht="60" x14ac:dyDescent="0.25">
      <c r="B17" s="20"/>
      <c r="C17" s="26"/>
      <c r="D17" s="31"/>
      <c r="E17" s="14">
        <v>7</v>
      </c>
      <c r="F17" s="15" t="s">
        <v>114</v>
      </c>
      <c r="G17" s="16" t="s">
        <v>67</v>
      </c>
      <c r="H17" s="29"/>
    </row>
    <row r="18" spans="2:8" x14ac:dyDescent="0.25">
      <c r="B18" s="20"/>
      <c r="C18" s="26"/>
      <c r="D18" s="26"/>
      <c r="E18" s="26"/>
      <c r="F18" s="26"/>
      <c r="G18" s="26"/>
      <c r="H18" s="26"/>
    </row>
    <row r="20" spans="2:8" x14ac:dyDescent="0.25">
      <c r="B20" s="23" t="s">
        <v>96</v>
      </c>
      <c r="C20" s="24"/>
      <c r="D20" s="24"/>
      <c r="E20" s="24"/>
      <c r="F20" s="24"/>
      <c r="G20" s="24"/>
      <c r="H20" s="24"/>
    </row>
    <row r="21" spans="2:8" x14ac:dyDescent="0.25">
      <c r="B21" s="24"/>
      <c r="C21" s="32"/>
      <c r="D21" s="32"/>
      <c r="E21" s="5" t="s">
        <v>68</v>
      </c>
      <c r="F21" s="5" t="s">
        <v>69</v>
      </c>
      <c r="G21" s="32"/>
      <c r="H21" s="32"/>
    </row>
    <row r="22" spans="2:8" x14ac:dyDescent="0.25">
      <c r="B22" s="24"/>
      <c r="C22" s="32"/>
      <c r="D22" s="32"/>
      <c r="E22" s="5" t="s">
        <v>70</v>
      </c>
      <c r="F22" s="5">
        <v>7</v>
      </c>
      <c r="G22" s="32"/>
      <c r="H22" s="32"/>
    </row>
    <row r="23" spans="2:8" x14ac:dyDescent="0.25">
      <c r="B23" s="24"/>
      <c r="C23" s="32"/>
      <c r="D23" s="32"/>
      <c r="E23" s="5" t="s">
        <v>71</v>
      </c>
      <c r="F23" s="5" t="s">
        <v>114</v>
      </c>
      <c r="G23" s="32"/>
      <c r="H23" s="32"/>
    </row>
    <row r="24" spans="2:8" x14ac:dyDescent="0.25">
      <c r="B24" s="24"/>
      <c r="C24" s="32"/>
      <c r="D24" s="32"/>
      <c r="E24" s="5" t="s">
        <v>72</v>
      </c>
      <c r="F24" s="5" t="s">
        <v>67</v>
      </c>
      <c r="G24" s="32"/>
      <c r="H24" s="32"/>
    </row>
    <row r="25" spans="2:8" x14ac:dyDescent="0.25">
      <c r="B25" s="24"/>
      <c r="C25" s="32"/>
      <c r="D25" s="32"/>
      <c r="E25" s="32"/>
      <c r="F25" s="32"/>
      <c r="G25" s="32"/>
      <c r="H25" s="32"/>
    </row>
  </sheetData>
  <sortState ref="B17:D21">
    <sortCondition ref="D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hain_Invoke_Button_Click">
                <anchor moveWithCells="1">
                  <from>
                    <xdr:col>3</xdr:col>
                    <xdr:colOff>47625</xdr:colOff>
                    <xdr:row>10</xdr:row>
                    <xdr:rowOff>9525</xdr:rowOff>
                  </from>
                  <to>
                    <xdr:col>4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hain_Clear_Button_Click">
                <anchor moveWithCells="1">
                  <from>
                    <xdr:col>4</xdr:col>
                    <xdr:colOff>219075</xdr:colOff>
                    <xdr:row>10</xdr:row>
                    <xdr:rowOff>9525</xdr:rowOff>
                  </from>
                  <to>
                    <xdr:col>4</xdr:col>
                    <xdr:colOff>857250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hain_Copy_To_Clipboard_Button_2_Click">
                <anchor moveWithCells="1" sizeWithCells="1">
                  <from>
                    <xdr:col>3</xdr:col>
                    <xdr:colOff>47625</xdr:colOff>
                    <xdr:row>13</xdr:row>
                    <xdr:rowOff>28575</xdr:rowOff>
                  </from>
                  <to>
                    <xdr:col>3</xdr:col>
                    <xdr:colOff>1162050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Chain_Copy_To_Clipboard_Button_1_Click">
                <anchor moveWithCells="1" sizeWithCells="1">
                  <from>
                    <xdr:col>3</xdr:col>
                    <xdr:colOff>38100</xdr:colOff>
                    <xdr:row>6</xdr:row>
                    <xdr:rowOff>19050</xdr:rowOff>
                  </from>
                  <to>
                    <xdr:col>3</xdr:col>
                    <xdr:colOff>1152525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Chain_Refresh_Query_Button_1_Click">
                <anchor moveWithCells="1" sizeWithCells="1">
                  <from>
                    <xdr:col>3</xdr:col>
                    <xdr:colOff>47625</xdr:colOff>
                    <xdr:row>15</xdr:row>
                    <xdr:rowOff>28575</xdr:rowOff>
                  </from>
                  <to>
                    <xdr:col>3</xdr:col>
                    <xdr:colOff>1162050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Chain_Refresh_Query_Button_2_Click">
                <anchor moveWithCells="1" sizeWithCells="1">
                  <from>
                    <xdr:col>3</xdr:col>
                    <xdr:colOff>38100</xdr:colOff>
                    <xdr:row>20</xdr:row>
                    <xdr:rowOff>19050</xdr:rowOff>
                  </from>
                  <to>
                    <xdr:col>3</xdr:col>
                    <xdr:colOff>1152525</xdr:colOff>
                    <xdr:row>20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3"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7"/>
  <sheetViews>
    <sheetView workbookViewId="0">
      <selection activeCell="A14" sqref="A14"/>
    </sheetView>
  </sheetViews>
  <sheetFormatPr defaultRowHeight="15" x14ac:dyDescent="0.25"/>
  <cols>
    <col min="1" max="1" width="2.42578125" customWidth="1"/>
    <col min="2" max="2" width="2.85546875" customWidth="1"/>
    <col min="3" max="4" width="13.42578125" customWidth="1"/>
    <col min="5" max="5" width="15.5703125" customWidth="1"/>
    <col min="6" max="6" width="35.28515625" bestFit="1" customWidth="1"/>
    <col min="7" max="7" width="7.7109375" customWidth="1"/>
    <col min="8" max="8" width="49.5703125" bestFit="1" customWidth="1"/>
  </cols>
  <sheetData>
    <row r="2" spans="1:10" x14ac:dyDescent="0.25">
      <c r="A2" s="2"/>
      <c r="B2" s="6" t="s">
        <v>95</v>
      </c>
      <c r="C2" s="7"/>
      <c r="D2" s="7"/>
      <c r="E2" s="7"/>
      <c r="F2" s="7"/>
      <c r="G2" s="7"/>
      <c r="H2" s="7"/>
    </row>
    <row r="3" spans="1:10" x14ac:dyDescent="0.25">
      <c r="A3" s="2"/>
      <c r="B3" s="3"/>
      <c r="C3" s="3"/>
      <c r="D3" s="3"/>
      <c r="J3" s="1"/>
    </row>
    <row r="4" spans="1:10" x14ac:dyDescent="0.25">
      <c r="B4" s="8" t="s">
        <v>5</v>
      </c>
      <c r="C4" s="9"/>
      <c r="D4" s="9"/>
      <c r="E4" s="9"/>
      <c r="F4" s="9"/>
      <c r="G4" s="9"/>
      <c r="H4" s="9"/>
    </row>
    <row r="5" spans="1:10" x14ac:dyDescent="0.25">
      <c r="B5" s="9"/>
      <c r="C5" s="25" t="s">
        <v>55</v>
      </c>
      <c r="D5" s="25"/>
      <c r="E5" s="27" t="s">
        <v>4</v>
      </c>
      <c r="F5" s="26"/>
      <c r="G5" s="26"/>
      <c r="H5" s="26"/>
    </row>
    <row r="6" spans="1:10" x14ac:dyDescent="0.25">
      <c r="B6" s="9"/>
      <c r="C6" s="25" t="s">
        <v>6</v>
      </c>
      <c r="D6" s="25"/>
      <c r="E6" s="26" t="s">
        <v>7</v>
      </c>
      <c r="F6" s="26"/>
      <c r="G6" s="26"/>
      <c r="H6" s="26"/>
    </row>
    <row r="7" spans="1:10" x14ac:dyDescent="0.25">
      <c r="B7" s="9"/>
      <c r="C7" s="25" t="s">
        <v>92</v>
      </c>
      <c r="D7" s="25"/>
      <c r="E7" s="28" t="str">
        <f>HYPERLINK(BASE_URL &amp; NETWORK_URL_SUFFIX)</f>
        <v>https://893727999f2b46a78b7316cc9eaca0e3-vp0.dev.blockchain.ibm.com:443/network/peers</v>
      </c>
      <c r="F7" s="26"/>
      <c r="G7" s="26"/>
      <c r="H7" s="26"/>
    </row>
    <row r="9" spans="1:10" ht="22.5" customHeight="1" x14ac:dyDescent="0.25">
      <c r="B9" s="19" t="s">
        <v>91</v>
      </c>
      <c r="C9" s="21"/>
      <c r="D9" s="21"/>
      <c r="E9" s="21"/>
      <c r="F9" s="21"/>
      <c r="G9" s="21"/>
      <c r="H9" s="21"/>
    </row>
    <row r="10" spans="1:10" x14ac:dyDescent="0.25">
      <c r="A10" s="2"/>
      <c r="B10" s="19"/>
      <c r="C10" s="25"/>
      <c r="D10" s="25"/>
      <c r="E10" s="25"/>
      <c r="F10" s="25"/>
      <c r="G10" s="25"/>
      <c r="H10" s="25"/>
      <c r="J10" s="1"/>
    </row>
    <row r="11" spans="1:10" x14ac:dyDescent="0.25">
      <c r="A11" s="2"/>
      <c r="B11" s="19"/>
      <c r="C11" s="25"/>
      <c r="D11" s="25"/>
      <c r="E11" t="s">
        <v>1</v>
      </c>
      <c r="F11" t="s">
        <v>93</v>
      </c>
      <c r="G11" t="s">
        <v>94</v>
      </c>
      <c r="H11" t="s">
        <v>2</v>
      </c>
      <c r="J11" s="1"/>
    </row>
    <row r="12" spans="1:10" ht="60" x14ac:dyDescent="0.25">
      <c r="A12" s="2"/>
      <c r="B12" s="19"/>
      <c r="C12" s="25"/>
      <c r="D12" s="25"/>
      <c r="E12" s="1" t="s">
        <v>10</v>
      </c>
      <c r="F12" s="1" t="s">
        <v>107</v>
      </c>
      <c r="G12">
        <v>1</v>
      </c>
      <c r="H12" t="s">
        <v>108</v>
      </c>
      <c r="J12" s="1"/>
    </row>
    <row r="13" spans="1:10" ht="60" x14ac:dyDescent="0.25">
      <c r="A13" s="2"/>
      <c r="B13" s="19"/>
      <c r="C13" s="25"/>
      <c r="D13" s="25"/>
      <c r="E13" s="1" t="s">
        <v>8</v>
      </c>
      <c r="F13" s="1" t="s">
        <v>103</v>
      </c>
      <c r="G13">
        <v>1</v>
      </c>
      <c r="H13" t="s">
        <v>104</v>
      </c>
      <c r="J13" s="1"/>
    </row>
    <row r="14" spans="1:10" ht="60" x14ac:dyDescent="0.25">
      <c r="B14" s="20"/>
      <c r="C14" s="25"/>
      <c r="D14" s="25"/>
      <c r="E14" s="1" t="s">
        <v>9</v>
      </c>
      <c r="F14" s="1" t="s">
        <v>105</v>
      </c>
      <c r="G14">
        <v>1</v>
      </c>
      <c r="H14" t="s">
        <v>106</v>
      </c>
    </row>
    <row r="15" spans="1:10" ht="60" x14ac:dyDescent="0.25">
      <c r="B15" s="20"/>
      <c r="C15" s="25"/>
      <c r="D15" s="25"/>
      <c r="E15" s="1" t="s">
        <v>11</v>
      </c>
      <c r="F15" s="1" t="s">
        <v>109</v>
      </c>
      <c r="G15">
        <v>1</v>
      </c>
      <c r="H15" t="s">
        <v>110</v>
      </c>
    </row>
    <row r="16" spans="1:10" x14ac:dyDescent="0.25">
      <c r="B16" s="20"/>
      <c r="C16" s="25"/>
      <c r="D16" s="25"/>
      <c r="E16" s="1"/>
      <c r="G16">
        <f>SUBTOTAL(103,Table13[type])</f>
        <v>4</v>
      </c>
    </row>
    <row r="17" spans="2:8" x14ac:dyDescent="0.25">
      <c r="B17" s="20"/>
      <c r="C17" s="26"/>
      <c r="D17" s="26"/>
      <c r="E17" s="26"/>
      <c r="F17" s="26"/>
      <c r="G17" s="26"/>
      <c r="H17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utton3_Click">
                <anchor moveWithCells="1">
                  <from>
                    <xdr:col>3</xdr:col>
                    <xdr:colOff>152400</xdr:colOff>
                    <xdr:row>9</xdr:row>
                    <xdr:rowOff>114300</xdr:rowOff>
                  </from>
                  <to>
                    <xdr:col>3</xdr:col>
                    <xdr:colOff>733425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Button4_Click">
                <anchor moveWithCells="1">
                  <from>
                    <xdr:col>3</xdr:col>
                    <xdr:colOff>133350</xdr:colOff>
                    <xdr:row>11</xdr:row>
                    <xdr:rowOff>38100</xdr:rowOff>
                  </from>
                  <to>
                    <xdr:col>3</xdr:col>
                    <xdr:colOff>733425</xdr:colOff>
                    <xdr:row>11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7"/>
  <sheetViews>
    <sheetView workbookViewId="0">
      <selection activeCell="B1" sqref="B1:B1048576"/>
    </sheetView>
  </sheetViews>
  <sheetFormatPr defaultRowHeight="15" x14ac:dyDescent="0.25"/>
  <cols>
    <col min="1" max="1" width="2.42578125" customWidth="1"/>
    <col min="2" max="2" width="2.85546875" customWidth="1"/>
    <col min="3" max="3" width="33.85546875" customWidth="1"/>
    <col min="4" max="4" width="8.7109375" bestFit="1" customWidth="1"/>
    <col min="5" max="5" width="17.42578125" customWidth="1"/>
    <col min="6" max="6" width="64.42578125" bestFit="1" customWidth="1"/>
    <col min="7" max="7" width="4.85546875" bestFit="1" customWidth="1"/>
    <col min="8" max="8" width="49.5703125" bestFit="1" customWidth="1"/>
  </cols>
  <sheetData>
    <row r="2" spans="1:6" x14ac:dyDescent="0.25">
      <c r="A2" s="2"/>
      <c r="B2" s="6" t="s">
        <v>95</v>
      </c>
      <c r="C2" s="6"/>
      <c r="D2" s="6"/>
      <c r="E2" s="6"/>
      <c r="F2" s="6"/>
    </row>
    <row r="3" spans="1:6" x14ac:dyDescent="0.25">
      <c r="A3" s="2"/>
      <c r="B3" s="6"/>
    </row>
    <row r="4" spans="1:6" x14ac:dyDescent="0.25">
      <c r="A4" s="2"/>
      <c r="B4" s="6"/>
      <c r="C4" s="3" t="s">
        <v>3</v>
      </c>
      <c r="D4" s="2" t="s">
        <v>52</v>
      </c>
    </row>
    <row r="5" spans="1:6" x14ac:dyDescent="0.25">
      <c r="B5" s="6"/>
      <c r="D5" s="2"/>
    </row>
    <row r="6" spans="1:6" x14ac:dyDescent="0.25">
      <c r="D6" s="2"/>
    </row>
    <row r="7" spans="1:6" x14ac:dyDescent="0.25">
      <c r="D7" s="2"/>
    </row>
  </sheetData>
  <hyperlinks>
    <hyperlink ref="D4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31"/>
  <sheetViews>
    <sheetView workbookViewId="0">
      <selection activeCell="G29" sqref="G29"/>
    </sheetView>
  </sheetViews>
  <sheetFormatPr defaultRowHeight="15" x14ac:dyDescent="0.25"/>
  <cols>
    <col min="1" max="1" width="2.42578125" customWidth="1"/>
    <col min="2" max="2" width="2.85546875" customWidth="1"/>
    <col min="3" max="3" width="18" customWidth="1"/>
    <col min="4" max="4" width="20.7109375" customWidth="1"/>
    <col min="5" max="5" width="20.42578125" customWidth="1"/>
    <col min="6" max="6" width="33.140625" bestFit="1" customWidth="1"/>
  </cols>
  <sheetData>
    <row r="2" spans="2:14" x14ac:dyDescent="0.25">
      <c r="B2" s="6" t="s">
        <v>95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2:14" x14ac:dyDescent="0.25">
      <c r="B3" s="6"/>
      <c r="C3" s="33" t="s">
        <v>12</v>
      </c>
      <c r="D3" t="s">
        <v>13</v>
      </c>
    </row>
    <row r="4" spans="2:14" x14ac:dyDescent="0.25">
      <c r="B4" s="6"/>
      <c r="C4" s="33" t="s">
        <v>24</v>
      </c>
      <c r="D4" t="s">
        <v>25</v>
      </c>
    </row>
    <row r="5" spans="2:14" x14ac:dyDescent="0.25">
      <c r="B5" s="6"/>
      <c r="C5" s="33" t="s">
        <v>14</v>
      </c>
      <c r="D5" t="s">
        <v>15</v>
      </c>
      <c r="G5" s="2" t="s">
        <v>23</v>
      </c>
    </row>
    <row r="6" spans="2:14" x14ac:dyDescent="0.25">
      <c r="B6" s="6"/>
      <c r="C6" s="26"/>
    </row>
    <row r="7" spans="2:14" x14ac:dyDescent="0.25">
      <c r="B7" s="6"/>
      <c r="C7" s="33" t="s">
        <v>16</v>
      </c>
      <c r="D7" t="s">
        <v>17</v>
      </c>
      <c r="E7" t="s">
        <v>22</v>
      </c>
      <c r="G7" s="2" t="s">
        <v>18</v>
      </c>
    </row>
    <row r="8" spans="2:14" x14ac:dyDescent="0.25">
      <c r="B8" s="6"/>
      <c r="C8" s="26"/>
      <c r="D8" t="s">
        <v>19</v>
      </c>
      <c r="E8" t="s">
        <v>20</v>
      </c>
      <c r="G8" s="2" t="s">
        <v>21</v>
      </c>
    </row>
    <row r="9" spans="2:14" x14ac:dyDescent="0.25">
      <c r="B9" s="6"/>
      <c r="C9" s="26"/>
      <c r="D9" t="s">
        <v>78</v>
      </c>
      <c r="G9" s="2" t="s">
        <v>77</v>
      </c>
    </row>
    <row r="10" spans="2:14" x14ac:dyDescent="0.25">
      <c r="B10" s="6"/>
      <c r="C10" s="26"/>
      <c r="F10" s="2"/>
    </row>
    <row r="11" spans="2:14" x14ac:dyDescent="0.25">
      <c r="B11" s="6"/>
      <c r="C11" s="33" t="s">
        <v>26</v>
      </c>
    </row>
    <row r="12" spans="2:14" x14ac:dyDescent="0.25">
      <c r="B12" s="6"/>
      <c r="C12" s="33"/>
      <c r="D12" t="s">
        <v>41</v>
      </c>
      <c r="E12" t="s">
        <v>42</v>
      </c>
      <c r="F12" t="s">
        <v>51</v>
      </c>
    </row>
    <row r="13" spans="2:14" x14ac:dyDescent="0.25">
      <c r="B13" s="6"/>
      <c r="C13" s="33"/>
      <c r="D13" t="s">
        <v>44</v>
      </c>
      <c r="E13" t="s">
        <v>48</v>
      </c>
    </row>
    <row r="14" spans="2:14" x14ac:dyDescent="0.25">
      <c r="B14" s="6"/>
      <c r="C14" s="33"/>
      <c r="D14" t="s">
        <v>46</v>
      </c>
      <c r="E14" t="s">
        <v>47</v>
      </c>
    </row>
    <row r="15" spans="2:14" x14ac:dyDescent="0.25">
      <c r="B15" s="6"/>
      <c r="C15" s="26"/>
      <c r="D15" t="s">
        <v>45</v>
      </c>
      <c r="E15" t="s">
        <v>37</v>
      </c>
      <c r="F15" t="s">
        <v>28</v>
      </c>
    </row>
    <row r="16" spans="2:14" x14ac:dyDescent="0.25">
      <c r="B16" s="6"/>
      <c r="C16" s="26"/>
      <c r="D16" t="s">
        <v>49</v>
      </c>
      <c r="E16" t="s">
        <v>50</v>
      </c>
    </row>
    <row r="17" spans="2:7" x14ac:dyDescent="0.25">
      <c r="B17" s="6"/>
      <c r="C17" s="26"/>
      <c r="D17" t="s">
        <v>0</v>
      </c>
      <c r="E17" t="s">
        <v>33</v>
      </c>
    </row>
    <row r="18" spans="2:7" x14ac:dyDescent="0.25">
      <c r="B18" s="6"/>
      <c r="C18" s="26"/>
      <c r="D18" t="s">
        <v>36</v>
      </c>
      <c r="E18" t="s">
        <v>34</v>
      </c>
      <c r="F18" t="s">
        <v>35</v>
      </c>
      <c r="G18" s="2" t="s">
        <v>43</v>
      </c>
    </row>
    <row r="19" spans="2:7" x14ac:dyDescent="0.25">
      <c r="B19" s="6"/>
      <c r="C19" s="26"/>
      <c r="D19" t="s">
        <v>31</v>
      </c>
      <c r="G19" s="2" t="s">
        <v>32</v>
      </c>
    </row>
    <row r="20" spans="2:7" x14ac:dyDescent="0.25">
      <c r="B20" s="6"/>
      <c r="C20" s="26"/>
      <c r="D20" t="s">
        <v>39</v>
      </c>
      <c r="G20" s="2" t="s">
        <v>30</v>
      </c>
    </row>
    <row r="21" spans="2:7" x14ac:dyDescent="0.25">
      <c r="B21" s="6"/>
      <c r="C21" s="26"/>
      <c r="D21" t="s">
        <v>40</v>
      </c>
      <c r="E21" t="s">
        <v>27</v>
      </c>
    </row>
    <row r="22" spans="2:7" x14ac:dyDescent="0.25">
      <c r="B22" s="6"/>
      <c r="C22" s="26"/>
    </row>
    <row r="23" spans="2:7" x14ac:dyDescent="0.25">
      <c r="B23" s="6"/>
      <c r="C23" s="33" t="s">
        <v>88</v>
      </c>
    </row>
    <row r="24" spans="2:7" x14ac:dyDescent="0.25">
      <c r="B24" s="6"/>
      <c r="C24" s="26"/>
      <c r="D24" t="s">
        <v>38</v>
      </c>
      <c r="G24" s="2" t="s">
        <v>29</v>
      </c>
    </row>
    <row r="25" spans="2:7" x14ac:dyDescent="0.25">
      <c r="B25" s="6"/>
      <c r="C25" s="26"/>
      <c r="D25" t="s">
        <v>87</v>
      </c>
      <c r="E25" t="s">
        <v>89</v>
      </c>
      <c r="G25" s="2" t="s">
        <v>80</v>
      </c>
    </row>
    <row r="26" spans="2:7" x14ac:dyDescent="0.25">
      <c r="B26" s="6"/>
      <c r="C26" s="26"/>
      <c r="D26" t="s">
        <v>61</v>
      </c>
      <c r="G26" s="2" t="s">
        <v>60</v>
      </c>
    </row>
    <row r="27" spans="2:7" x14ac:dyDescent="0.25">
      <c r="B27" s="6"/>
      <c r="C27" s="26"/>
    </row>
    <row r="28" spans="2:7" x14ac:dyDescent="0.25">
      <c r="B28" s="6"/>
      <c r="C28" s="33" t="s">
        <v>63</v>
      </c>
    </row>
    <row r="29" spans="2:7" x14ac:dyDescent="0.25">
      <c r="B29" s="6"/>
      <c r="C29" s="26"/>
      <c r="D29" t="s">
        <v>90</v>
      </c>
      <c r="G29" s="2" t="s">
        <v>62</v>
      </c>
    </row>
    <row r="30" spans="2:7" x14ac:dyDescent="0.25">
      <c r="B30" s="6"/>
      <c r="C30" s="26"/>
    </row>
    <row r="31" spans="2:7" x14ac:dyDescent="0.25">
      <c r="C31" s="26"/>
    </row>
  </sheetData>
  <hyperlinks>
    <hyperlink ref="G7" r:id="rId1"/>
    <hyperlink ref="G8" r:id="rId2"/>
    <hyperlink ref="G5" r:id="rId3"/>
    <hyperlink ref="G24" r:id="rId4"/>
    <hyperlink ref="G20" r:id="rId5"/>
    <hyperlink ref="G19" r:id="rId6"/>
    <hyperlink ref="G18" r:id="rId7"/>
    <hyperlink ref="G26" r:id="rId8"/>
    <hyperlink ref="G29" r:id="rId9"/>
    <hyperlink ref="G9" r:id="rId10"/>
    <hyperlink ref="G25" r:id="rId11" location="62-rest-api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12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9" sqref="D9"/>
    </sheetView>
  </sheetViews>
  <sheetFormatPr defaultRowHeight="15" x14ac:dyDescent="0.25"/>
  <cols>
    <col min="1" max="1" width="2.42578125" customWidth="1"/>
    <col min="2" max="2" width="2.85546875" customWidth="1"/>
    <col min="3" max="3" width="36.28515625" customWidth="1"/>
    <col min="4" max="5" width="71.85546875" customWidth="1"/>
  </cols>
  <sheetData>
    <row r="1" spans="2:5" ht="15" customHeight="1" x14ac:dyDescent="0.25"/>
    <row r="2" spans="2:5" x14ac:dyDescent="0.25">
      <c r="B2" s="6" t="s">
        <v>95</v>
      </c>
      <c r="C2" s="7"/>
      <c r="D2" s="7"/>
      <c r="E2" s="7"/>
    </row>
    <row r="4" spans="2:5" x14ac:dyDescent="0.25">
      <c r="B4" s="34" t="s">
        <v>102</v>
      </c>
      <c r="C4" s="10"/>
      <c r="D4" s="10"/>
      <c r="E4" s="10"/>
    </row>
    <row r="5" spans="2:5" x14ac:dyDescent="0.25">
      <c r="B5" s="10"/>
      <c r="C5" s="3" t="s">
        <v>100</v>
      </c>
      <c r="D5" s="3" t="s">
        <v>99</v>
      </c>
      <c r="E5" s="3" t="s">
        <v>101</v>
      </c>
    </row>
    <row r="6" spans="2:5" ht="270" x14ac:dyDescent="0.25">
      <c r="B6" s="10"/>
      <c r="C6" s="39" t="s">
        <v>98</v>
      </c>
      <c r="D6" s="1" t="s">
        <v>97</v>
      </c>
      <c r="E6" s="1" t="s">
        <v>57</v>
      </c>
    </row>
    <row r="7" spans="2:5" ht="30" x14ac:dyDescent="0.25">
      <c r="B7" s="10"/>
      <c r="C7" s="39" t="s">
        <v>115</v>
      </c>
      <c r="D7" s="1" t="s">
        <v>116</v>
      </c>
      <c r="E7" s="1"/>
    </row>
    <row r="8" spans="2:5" ht="45" x14ac:dyDescent="0.25">
      <c r="B8" s="10"/>
      <c r="C8" s="39" t="s">
        <v>119</v>
      </c>
      <c r="D8" s="1" t="s">
        <v>121</v>
      </c>
      <c r="E8" s="1" t="s">
        <v>120</v>
      </c>
    </row>
    <row r="9" spans="2:5" x14ac:dyDescent="0.25">
      <c r="B9" s="10"/>
      <c r="C9" s="1"/>
      <c r="D9" s="1"/>
      <c r="E9" s="1"/>
    </row>
    <row r="10" spans="2:5" x14ac:dyDescent="0.25">
      <c r="B10" s="10"/>
      <c r="C10" s="1"/>
      <c r="D10" s="1"/>
      <c r="E10" s="1"/>
    </row>
    <row r="11" spans="2:5" x14ac:dyDescent="0.25">
      <c r="B11" s="10"/>
      <c r="C11" s="1"/>
      <c r="D11" s="1"/>
      <c r="E11" s="1"/>
    </row>
    <row r="12" spans="2:5" x14ac:dyDescent="0.25">
      <c r="B12" s="10"/>
      <c r="C12" s="1"/>
      <c r="D12" s="1"/>
      <c r="E12" s="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F98490-5157-48E9-8E74-DCD57C4EB0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Block Details Parsed</vt:lpstr>
      <vt:lpstr>Block API Call</vt:lpstr>
      <vt:lpstr>Chain API Call</vt:lpstr>
      <vt:lpstr>Network API Call</vt:lpstr>
      <vt:lpstr>Global Config</vt:lpstr>
      <vt:lpstr>About</vt:lpstr>
      <vt:lpstr>Troubleshooting</vt:lpstr>
      <vt:lpstr>BASE_URL</vt:lpstr>
      <vt:lpstr>BLOCK_DETAILS_RAW_RESPONSE</vt:lpstr>
      <vt:lpstr>CHAIN_API_CALL_BROWSER_URL</vt:lpstr>
      <vt:lpstr>CHAIN_API_CALL_CLEARED_AREA</vt:lpstr>
      <vt:lpstr>CHAIN_API_CALL_CURRENT_BLOCK_HEIGHT</vt:lpstr>
      <vt:lpstr>CHAIN_API_CALL_RAW_RESPONSE</vt:lpstr>
      <vt:lpstr>CHAIN_API_CALL_STATUS_CODE</vt:lpstr>
      <vt:lpstr>CHAIN_API_CALL_STATUS_DESCRIPTION</vt:lpstr>
      <vt:lpstr>CHAIN_API_CALL_URL_SUFFIX</vt:lpstr>
      <vt:lpstr>CHAIN_HEIGHT</vt:lpstr>
      <vt:lpstr>NETWORK_RESPONSE</vt:lpstr>
      <vt:lpstr>NETWORK_URL_SUFFIX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Sevareid</dc:creator>
  <cp:lastModifiedBy>Jeremy Sevareid</cp:lastModifiedBy>
  <dcterms:created xsi:type="dcterms:W3CDTF">2011-08-25T14:29:57Z</dcterms:created>
  <dcterms:modified xsi:type="dcterms:W3CDTF">2016-11-04T21:44:04Z</dcterms:modified>
</cp:coreProperties>
</file>